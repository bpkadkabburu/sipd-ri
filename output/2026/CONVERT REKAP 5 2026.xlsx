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s\bpkad\sipd-ri\output\2026\"/>
    </mc:Choice>
  </mc:AlternateContent>
  <xr:revisionPtr revIDLastSave="0" documentId="13_ncr:1_{9FB896A3-6E37-4E8D-AAFA-11BBFEAB9F7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AGU PER OPD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8" i="3" l="1"/>
  <c r="C68" i="3"/>
  <c r="B68" i="3"/>
</calcChain>
</file>

<file path=xl/sharedStrings.xml><?xml version="1.0" encoding="utf-8"?>
<sst xmlns="http://schemas.openxmlformats.org/spreadsheetml/2006/main" count="70" uniqueCount="70">
  <si>
    <t>Nama OPD</t>
  </si>
  <si>
    <t>Dinas Pendidikan dan Kebudayaan</t>
  </si>
  <si>
    <t>Satuan PNF Sanggar Kegiatan Belajar</t>
  </si>
  <si>
    <t>Dinas Kesehatan</t>
  </si>
  <si>
    <t>Puskesmas Namlea</t>
  </si>
  <si>
    <t>Puskesmas Sawa</t>
  </si>
  <si>
    <t>Puskesmas Waplau</t>
  </si>
  <si>
    <t>Puskesmas Wamlana</t>
  </si>
  <si>
    <t>Puskesmas Airbuaya</t>
  </si>
  <si>
    <t>Puskesmas Kayeli</t>
  </si>
  <si>
    <t>Puskesmas Ilath</t>
  </si>
  <si>
    <t>Puskesmas Savana Jaya</t>
  </si>
  <si>
    <t>Puskesmas Mako</t>
  </si>
  <si>
    <t>Puskesmas Lolong Guba</t>
  </si>
  <si>
    <t>Puskesmas Waelo</t>
  </si>
  <si>
    <t>Puskesmas Bara</t>
  </si>
  <si>
    <t>Puskesmas Waegrahe</t>
  </si>
  <si>
    <t>RSUD Namlea</t>
  </si>
  <si>
    <t>Dinas Pekerjaan Umum dan Penataan Ruang</t>
  </si>
  <si>
    <t>Dinas Perumahan dan Kawasan Pemukiman</t>
  </si>
  <si>
    <t>Dinas Satuan Polisi Pamong Praja</t>
  </si>
  <si>
    <t>Badan Penanggulangan Bencana Daerah</t>
  </si>
  <si>
    <t>Dinas Sosial</t>
  </si>
  <si>
    <t>Dinas Tenaga Kerja dan Transmigrasi</t>
  </si>
  <si>
    <t>Dinas Pemberdayaan Perempuan dan Perlindungan Anak</t>
  </si>
  <si>
    <t>Dinas Ketahanan Pangan</t>
  </si>
  <si>
    <t>Dinas Lingkungan Hidup</t>
  </si>
  <si>
    <t>Dinas Kependudukan dan Pencatatan Sipil</t>
  </si>
  <si>
    <t>Dinas Pemberdayaan Masyarakat dan Pemerintah Desa</t>
  </si>
  <si>
    <t>Dinas Pengendalian Penduduk dan Keluarga Berencana</t>
  </si>
  <si>
    <t>Dinas Perhubungan</t>
  </si>
  <si>
    <t>Dinas Komunikasi dan Informatika</t>
  </si>
  <si>
    <t>Dinas Koperasi Usaha Kecil dan Menengah</t>
  </si>
  <si>
    <t>Dinas Penanaman Modal dan Pelayanan Terpadu Satu Pintu</t>
  </si>
  <si>
    <t>Dinas Pemuda dan Olahraga</t>
  </si>
  <si>
    <t>Dinas Perpustakaan dan Arsip Daerah</t>
  </si>
  <si>
    <t>Dinas Perikanan</t>
  </si>
  <si>
    <t>Dinas Pariwisata</t>
  </si>
  <si>
    <t>Dinas Pertanian</t>
  </si>
  <si>
    <t>Dinas Perindustrian dan Perdagangan</t>
  </si>
  <si>
    <t>Bagian Tata Pemerintahan</t>
  </si>
  <si>
    <t>Bagian Hukum</t>
  </si>
  <si>
    <t>Bagian Umum dan Perlengkapan</t>
  </si>
  <si>
    <t>Bagian Ekonomi dan Pembangunan</t>
  </si>
  <si>
    <t>Bagian Kesejahteraan Rakyat</t>
  </si>
  <si>
    <t>Bagian Organisasi</t>
  </si>
  <si>
    <t>Bagian Hubungan Masyarakat dan Protokol</t>
  </si>
  <si>
    <t>Bagian Sumber Daya Alam</t>
  </si>
  <si>
    <t>Bagian Keuangan dan Perencanaan</t>
  </si>
  <si>
    <t>Sekretariat DPRD</t>
  </si>
  <si>
    <t>Badan Perencanaan Pembangunan Daerah</t>
  </si>
  <si>
    <t>Badan Pengelolaan Keuangan dan Aset Daerah</t>
  </si>
  <si>
    <t>Badan Pendapatan Daerah</t>
  </si>
  <si>
    <t>Badan Kepegawaian dan Pengembangan Sumber Daya Manusia</t>
  </si>
  <si>
    <t>Inspektorat Daerah</t>
  </si>
  <si>
    <t>Kecamatan Namlea</t>
  </si>
  <si>
    <t>Kecamatan Air Buaya</t>
  </si>
  <si>
    <t>Kecamatan Batabual</t>
  </si>
  <si>
    <t>Kecamatan Waeapo</t>
  </si>
  <si>
    <t>Kecamatan Waplau</t>
  </si>
  <si>
    <t>Kecamatan Lolong Guba</t>
  </si>
  <si>
    <t>Kecamatan Waelata</t>
  </si>
  <si>
    <t>Kecamatan Fena Leisela</t>
  </si>
  <si>
    <t>Kecamatan Teluk Kaiely</t>
  </si>
  <si>
    <t>Kecamatan Lilialy</t>
  </si>
  <si>
    <t>Badan Bina Kesatuan Bangsa dan Politik</t>
  </si>
  <si>
    <t>Total Pagu (Rp)</t>
  </si>
  <si>
    <t>Sekretariat Daerah</t>
  </si>
  <si>
    <t>GAJI ASN + TPP (Rp)</t>
  </si>
  <si>
    <t>Belanja TAL 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</si>
</sst>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>
    <font>
      <sz val="11"/>
      <name val="Calibri"/>
    </font>
    <font>
      <sz val="11"/>
      <name val="Calibri"/>
    </font>
    <font>
      <b/>
      <sz val="9"/>
      <name val="Calibri"/>
    </font>
    <font>
      <sz val="9"/>
      <name val="Calibri"/>
    </font>
    <font>
      <sz val="9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 wrapText="1"/>
    </xf>
    <xf numFmtId="43" fontId="2" fillId="0" borderId="0" xfId="1" applyFont="1"/>
    <xf numFmtId="43" fontId="3" fillId="0" borderId="0" xfId="1" applyFont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8"/>
  <sheetViews>
    <sheetView tabSelected="1" topLeftCell="A49" workbookViewId="0">
      <selection activeCell="D68" sqref="D68"/>
    </sheetView>
  </sheetViews>
  <sheetFormatPr defaultRowHeight="14.4"/>
  <cols>
    <col min="1" max="1" width="20.77734375" customWidth="1"/>
    <col min="2" max="3" width="18.44140625" style="5" bestFit="1" customWidth="1"/>
    <col min="4" max="4" width="16.33203125" style="5" bestFit="1" customWidth="1"/>
  </cols>
  <sheetData>
    <row r="1" spans="1:4">
      <c r="A1" s="1" t="s">
        <v>0</v>
      </c>
      <c r="B1" s="3" t="s">
        <v>66</v>
      </c>
      <c r="C1" s="3" t="s">
        <v>68</v>
      </c>
      <c r="D1" s="3" t="s">
        <v>69</v>
      </c>
    </row>
    <row r="2" spans="1:4" ht="24">
      <c r="A2" s="2" t="s">
        <v>1</v>
      </c>
      <c r="B2" s="4">
        <v>268421976455</v>
      </c>
      <c r="C2" s="4">
        <v>213883629955</v>
      </c>
      <c r="D2" s="4">
        <v>76645800</v>
      </c>
    </row>
    <row r="3" spans="1:4" ht="24">
      <c r="A3" s="2" t="s">
        <v>2</v>
      </c>
      <c r="B3" s="4">
        <v>595832402</v>
      </c>
      <c r="C3" s="4">
        <v>0</v>
      </c>
      <c r="D3" s="4">
        <v>17340000</v>
      </c>
    </row>
    <row r="4" spans="1:4">
      <c r="A4" s="2" t="s">
        <v>3</v>
      </c>
      <c r="B4" s="4">
        <v>78573817426</v>
      </c>
      <c r="C4" s="4">
        <v>53863247347</v>
      </c>
      <c r="D4" s="4">
        <v>180271195</v>
      </c>
    </row>
    <row r="5" spans="1:4">
      <c r="A5" s="2" t="s">
        <v>4</v>
      </c>
      <c r="B5" s="4">
        <v>3531134886</v>
      </c>
      <c r="C5" s="4">
        <v>0</v>
      </c>
      <c r="D5" s="4">
        <v>47100000</v>
      </c>
    </row>
    <row r="6" spans="1:4">
      <c r="A6" s="2" t="s">
        <v>5</v>
      </c>
      <c r="B6" s="4">
        <v>1442457085</v>
      </c>
      <c r="C6" s="4">
        <v>0</v>
      </c>
      <c r="D6" s="4">
        <v>21780000</v>
      </c>
    </row>
    <row r="7" spans="1:4">
      <c r="A7" s="2" t="s">
        <v>6</v>
      </c>
      <c r="B7" s="4">
        <v>1767475616</v>
      </c>
      <c r="C7" s="4">
        <v>0</v>
      </c>
      <c r="D7" s="4">
        <v>14460000</v>
      </c>
    </row>
    <row r="8" spans="1:4">
      <c r="A8" s="2" t="s">
        <v>7</v>
      </c>
      <c r="B8" s="4">
        <v>1625971503</v>
      </c>
      <c r="C8" s="4">
        <v>0</v>
      </c>
      <c r="D8" s="4">
        <v>10110000</v>
      </c>
    </row>
    <row r="9" spans="1:4">
      <c r="A9" s="2" t="s">
        <v>8</v>
      </c>
      <c r="B9" s="4">
        <v>1835538382</v>
      </c>
      <c r="C9" s="4">
        <v>0</v>
      </c>
      <c r="D9" s="4">
        <v>21350400</v>
      </c>
    </row>
    <row r="10" spans="1:4">
      <c r="A10" s="2" t="s">
        <v>9</v>
      </c>
      <c r="B10" s="4">
        <v>1172783679</v>
      </c>
      <c r="C10" s="4">
        <v>0</v>
      </c>
      <c r="D10" s="4">
        <v>8410000</v>
      </c>
    </row>
    <row r="11" spans="1:4">
      <c r="A11" s="2" t="s">
        <v>10</v>
      </c>
      <c r="B11" s="4">
        <v>1718460911</v>
      </c>
      <c r="C11" s="4">
        <v>0</v>
      </c>
      <c r="D11" s="4">
        <v>14445000</v>
      </c>
    </row>
    <row r="12" spans="1:4">
      <c r="A12" s="2" t="s">
        <v>11</v>
      </c>
      <c r="B12" s="4">
        <v>1222420587</v>
      </c>
      <c r="C12" s="4">
        <v>0</v>
      </c>
      <c r="D12" s="4">
        <v>18420000</v>
      </c>
    </row>
    <row r="13" spans="1:4">
      <c r="A13" s="2" t="s">
        <v>12</v>
      </c>
      <c r="B13" s="4">
        <v>1769525352</v>
      </c>
      <c r="C13" s="4">
        <v>0</v>
      </c>
      <c r="D13" s="4">
        <v>30000000</v>
      </c>
    </row>
    <row r="14" spans="1:4">
      <c r="A14" s="2" t="s">
        <v>13</v>
      </c>
      <c r="B14" s="4">
        <v>1930181775.9999998</v>
      </c>
      <c r="C14" s="4">
        <v>0</v>
      </c>
      <c r="D14" s="4">
        <v>12456000</v>
      </c>
    </row>
    <row r="15" spans="1:4">
      <c r="A15" s="2" t="s">
        <v>14</v>
      </c>
      <c r="B15" s="4">
        <v>1755685805</v>
      </c>
      <c r="C15" s="4">
        <v>0</v>
      </c>
      <c r="D15" s="4">
        <v>16550000</v>
      </c>
    </row>
    <row r="16" spans="1:4">
      <c r="A16" s="2" t="s">
        <v>15</v>
      </c>
      <c r="B16" s="4">
        <v>946932426</v>
      </c>
      <c r="C16" s="4">
        <v>0</v>
      </c>
      <c r="D16" s="4">
        <v>2550000</v>
      </c>
    </row>
    <row r="17" spans="1:4">
      <c r="A17" s="2" t="s">
        <v>16</v>
      </c>
      <c r="B17" s="4">
        <v>927223502</v>
      </c>
      <c r="C17" s="4">
        <v>0</v>
      </c>
      <c r="D17" s="4">
        <v>107100</v>
      </c>
    </row>
    <row r="18" spans="1:4">
      <c r="A18" s="2" t="s">
        <v>17</v>
      </c>
      <c r="B18" s="4">
        <v>57312789178</v>
      </c>
      <c r="C18" s="4">
        <v>15833047586</v>
      </c>
      <c r="D18" s="4">
        <v>368440000</v>
      </c>
    </row>
    <row r="19" spans="1:4" ht="24">
      <c r="A19" s="2" t="s">
        <v>18</v>
      </c>
      <c r="B19" s="4">
        <v>160711297785</v>
      </c>
      <c r="C19" s="4">
        <v>8112462236</v>
      </c>
      <c r="D19" s="4">
        <v>74360400</v>
      </c>
    </row>
    <row r="20" spans="1:4" ht="24">
      <c r="A20" s="2" t="s">
        <v>19</v>
      </c>
      <c r="B20" s="4">
        <v>6384223333</v>
      </c>
      <c r="C20" s="4">
        <v>2542213988</v>
      </c>
      <c r="D20" s="4">
        <v>767635045</v>
      </c>
    </row>
    <row r="21" spans="1:4" ht="24">
      <c r="A21" s="2" t="s">
        <v>20</v>
      </c>
      <c r="B21" s="4">
        <v>7763943698</v>
      </c>
      <c r="C21" s="4">
        <v>6133318698</v>
      </c>
      <c r="D21" s="4">
        <v>76625000</v>
      </c>
    </row>
    <row r="22" spans="1:4" ht="24">
      <c r="A22" s="2" t="s">
        <v>21</v>
      </c>
      <c r="B22" s="4">
        <v>2196282930</v>
      </c>
      <c r="C22" s="4">
        <v>1816277391</v>
      </c>
      <c r="D22" s="4">
        <v>30006039</v>
      </c>
    </row>
    <row r="23" spans="1:4">
      <c r="A23" s="2" t="s">
        <v>22</v>
      </c>
      <c r="B23" s="4">
        <v>3009895269</v>
      </c>
      <c r="C23" s="4">
        <v>2435963169</v>
      </c>
      <c r="D23" s="4">
        <v>29854800</v>
      </c>
    </row>
    <row r="24" spans="1:4" ht="24">
      <c r="A24" s="2" t="s">
        <v>23</v>
      </c>
      <c r="B24" s="4">
        <v>3080135585</v>
      </c>
      <c r="C24" s="4">
        <v>2672519135</v>
      </c>
      <c r="D24" s="4">
        <v>57616950</v>
      </c>
    </row>
    <row r="25" spans="1:4" ht="36">
      <c r="A25" s="2" t="s">
        <v>24</v>
      </c>
      <c r="B25" s="4">
        <v>2311575438</v>
      </c>
      <c r="C25" s="4">
        <v>1196281488</v>
      </c>
      <c r="D25" s="4">
        <v>8395450</v>
      </c>
    </row>
    <row r="26" spans="1:4">
      <c r="A26" s="2" t="s">
        <v>25</v>
      </c>
      <c r="B26" s="4">
        <v>2259845184</v>
      </c>
      <c r="C26" s="4">
        <v>1569749364</v>
      </c>
      <c r="D26" s="4">
        <v>44575320</v>
      </c>
    </row>
    <row r="27" spans="1:4">
      <c r="A27" s="2" t="s">
        <v>26</v>
      </c>
      <c r="B27" s="4">
        <v>6941969712</v>
      </c>
      <c r="C27" s="4">
        <v>2456547412</v>
      </c>
      <c r="D27" s="4">
        <v>63783300</v>
      </c>
    </row>
    <row r="28" spans="1:4" ht="24">
      <c r="A28" s="2" t="s">
        <v>27</v>
      </c>
      <c r="B28" s="4">
        <v>2401743478</v>
      </c>
      <c r="C28" s="4">
        <v>1841850791</v>
      </c>
      <c r="D28" s="4">
        <v>56879300</v>
      </c>
    </row>
    <row r="29" spans="1:4" ht="36">
      <c r="A29" s="2" t="s">
        <v>28</v>
      </c>
      <c r="B29" s="4">
        <v>6353657544</v>
      </c>
      <c r="C29" s="4">
        <v>3071360349</v>
      </c>
      <c r="D29" s="4">
        <v>44910055</v>
      </c>
    </row>
    <row r="30" spans="1:4" ht="36">
      <c r="A30" s="2" t="s">
        <v>29</v>
      </c>
      <c r="B30" s="4">
        <v>3083562922</v>
      </c>
      <c r="C30" s="4">
        <v>847887722</v>
      </c>
      <c r="D30" s="4">
        <v>300990000</v>
      </c>
    </row>
    <row r="31" spans="1:4">
      <c r="A31" s="2" t="s">
        <v>30</v>
      </c>
      <c r="B31" s="4">
        <v>3246116451</v>
      </c>
      <c r="C31" s="4">
        <v>2839963511</v>
      </c>
      <c r="D31" s="4">
        <v>87436980</v>
      </c>
    </row>
    <row r="32" spans="1:4" ht="24">
      <c r="A32" s="2" t="s">
        <v>31</v>
      </c>
      <c r="B32" s="4">
        <v>2131173668.98</v>
      </c>
      <c r="C32" s="4">
        <v>1483302474</v>
      </c>
      <c r="D32" s="4">
        <v>86805000</v>
      </c>
    </row>
    <row r="33" spans="1:4" ht="24">
      <c r="A33" s="2" t="s">
        <v>32</v>
      </c>
      <c r="B33" s="4">
        <v>3358251243</v>
      </c>
      <c r="C33" s="4">
        <v>2114166243</v>
      </c>
      <c r="D33" s="4">
        <v>68651500</v>
      </c>
    </row>
    <row r="34" spans="1:4" ht="36">
      <c r="A34" s="2" t="s">
        <v>33</v>
      </c>
      <c r="B34" s="4">
        <v>1860192293</v>
      </c>
      <c r="C34" s="4">
        <v>1450481193</v>
      </c>
      <c r="D34" s="4">
        <v>57205200</v>
      </c>
    </row>
    <row r="35" spans="1:4">
      <c r="A35" s="2" t="s">
        <v>34</v>
      </c>
      <c r="B35" s="4">
        <v>4758849670</v>
      </c>
      <c r="C35" s="4">
        <v>1180271670</v>
      </c>
      <c r="D35" s="4">
        <v>53631000</v>
      </c>
    </row>
    <row r="36" spans="1:4" ht="24">
      <c r="A36" s="2" t="s">
        <v>35</v>
      </c>
      <c r="B36" s="4">
        <v>2624452075</v>
      </c>
      <c r="C36" s="4">
        <v>1814135575</v>
      </c>
      <c r="D36" s="4">
        <v>64642500</v>
      </c>
    </row>
    <row r="37" spans="1:4">
      <c r="A37" s="2" t="s">
        <v>36</v>
      </c>
      <c r="B37" s="4">
        <v>3985419345</v>
      </c>
      <c r="C37" s="4">
        <v>3491069765</v>
      </c>
      <c r="D37" s="4">
        <v>43783680</v>
      </c>
    </row>
    <row r="38" spans="1:4">
      <c r="A38" s="2" t="s">
        <v>37</v>
      </c>
      <c r="B38" s="4">
        <v>2254733289</v>
      </c>
      <c r="C38" s="4">
        <v>1509559889</v>
      </c>
      <c r="D38" s="4">
        <v>51656650</v>
      </c>
    </row>
    <row r="39" spans="1:4">
      <c r="A39" s="2" t="s">
        <v>38</v>
      </c>
      <c r="B39" s="4">
        <v>10678168003</v>
      </c>
      <c r="C39" s="4">
        <v>9636840203</v>
      </c>
      <c r="D39" s="4">
        <v>59160000</v>
      </c>
    </row>
    <row r="40" spans="1:4" ht="24">
      <c r="A40" s="2" t="s">
        <v>39</v>
      </c>
      <c r="B40" s="4">
        <v>4097385321</v>
      </c>
      <c r="C40" s="4">
        <v>3130033321</v>
      </c>
      <c r="D40" s="4">
        <v>68705200</v>
      </c>
    </row>
    <row r="41" spans="1:4">
      <c r="A41" s="2" t="s">
        <v>67</v>
      </c>
      <c r="B41" s="4">
        <v>0</v>
      </c>
      <c r="C41" s="4">
        <v>0</v>
      </c>
      <c r="D41" s="4">
        <v>0</v>
      </c>
    </row>
    <row r="42" spans="1:4">
      <c r="A42" s="2" t="s">
        <v>40</v>
      </c>
      <c r="B42" s="4">
        <v>300000000</v>
      </c>
      <c r="C42" s="4">
        <v>0</v>
      </c>
      <c r="D42" s="4">
        <v>6900000</v>
      </c>
    </row>
    <row r="43" spans="1:4">
      <c r="A43" s="2" t="s">
        <v>41</v>
      </c>
      <c r="B43" s="4">
        <v>474999200</v>
      </c>
      <c r="C43" s="4">
        <v>0</v>
      </c>
      <c r="D43" s="4">
        <v>11940000</v>
      </c>
    </row>
    <row r="44" spans="1:4" ht="24">
      <c r="A44" s="2" t="s">
        <v>42</v>
      </c>
      <c r="B44" s="4">
        <v>19506630740</v>
      </c>
      <c r="C44" s="4">
        <v>0</v>
      </c>
      <c r="D44" s="4">
        <v>176760000</v>
      </c>
    </row>
    <row r="45" spans="1:4" ht="24">
      <c r="A45" s="2" t="s">
        <v>43</v>
      </c>
      <c r="B45" s="4">
        <v>390000000</v>
      </c>
      <c r="C45" s="4">
        <v>0</v>
      </c>
      <c r="D45" s="4">
        <v>7560000</v>
      </c>
    </row>
    <row r="46" spans="1:4">
      <c r="A46" s="2" t="s">
        <v>44</v>
      </c>
      <c r="B46" s="4">
        <v>3979999600</v>
      </c>
      <c r="C46" s="4">
        <v>0</v>
      </c>
      <c r="D46" s="4">
        <v>5760000</v>
      </c>
    </row>
    <row r="47" spans="1:4">
      <c r="A47" s="2" t="s">
        <v>45</v>
      </c>
      <c r="B47" s="4">
        <v>149996900</v>
      </c>
      <c r="C47" s="4">
        <v>0</v>
      </c>
      <c r="D47" s="4">
        <v>7560000</v>
      </c>
    </row>
    <row r="48" spans="1:4" ht="24">
      <c r="A48" s="2" t="s">
        <v>46</v>
      </c>
      <c r="B48" s="4">
        <v>574826900</v>
      </c>
      <c r="C48" s="4">
        <v>0</v>
      </c>
      <c r="D48" s="4">
        <v>8100000</v>
      </c>
    </row>
    <row r="49" spans="1:4">
      <c r="A49" s="2" t="s">
        <v>47</v>
      </c>
      <c r="B49" s="4">
        <v>149882800</v>
      </c>
      <c r="C49" s="4">
        <v>0</v>
      </c>
      <c r="D49" s="4">
        <v>0</v>
      </c>
    </row>
    <row r="50" spans="1:4" ht="24">
      <c r="A50" s="2" t="s">
        <v>48</v>
      </c>
      <c r="B50" s="4">
        <v>14704611831</v>
      </c>
      <c r="C50" s="4">
        <v>7817932956</v>
      </c>
      <c r="D50" s="4">
        <v>1180941100</v>
      </c>
    </row>
    <row r="51" spans="1:4">
      <c r="A51" s="2" t="s">
        <v>49</v>
      </c>
      <c r="B51" s="4">
        <v>28978988816</v>
      </c>
      <c r="C51" s="4">
        <v>3724879732</v>
      </c>
      <c r="D51" s="4">
        <v>593385400</v>
      </c>
    </row>
    <row r="52" spans="1:4" ht="24">
      <c r="A52" s="2" t="s">
        <v>50</v>
      </c>
      <c r="B52" s="4">
        <v>5637646584</v>
      </c>
      <c r="C52" s="4">
        <v>3671404804</v>
      </c>
      <c r="D52" s="4">
        <v>89799580</v>
      </c>
    </row>
    <row r="53" spans="1:4" ht="24">
      <c r="A53" s="2" t="s">
        <v>51</v>
      </c>
      <c r="B53" s="4">
        <v>133736303916.7</v>
      </c>
      <c r="C53" s="4">
        <v>4969476859.6999998</v>
      </c>
      <c r="D53" s="4">
        <v>237768000</v>
      </c>
    </row>
    <row r="54" spans="1:4">
      <c r="A54" s="2" t="s">
        <v>52</v>
      </c>
      <c r="B54" s="4">
        <v>4113506887</v>
      </c>
      <c r="C54" s="4">
        <v>3090084187</v>
      </c>
      <c r="D54" s="4">
        <v>67389000</v>
      </c>
    </row>
    <row r="55" spans="1:4" ht="36">
      <c r="A55" s="2" t="s">
        <v>53</v>
      </c>
      <c r="B55" s="4">
        <v>5616402034</v>
      </c>
      <c r="C55" s="4">
        <v>4023920224</v>
      </c>
      <c r="D55" s="4">
        <v>66395000</v>
      </c>
    </row>
    <row r="56" spans="1:4">
      <c r="A56" s="2" t="s">
        <v>54</v>
      </c>
      <c r="B56" s="4">
        <v>4156687145</v>
      </c>
      <c r="C56" s="4">
        <v>3442413425</v>
      </c>
      <c r="D56" s="4">
        <v>38010800</v>
      </c>
    </row>
    <row r="57" spans="1:4">
      <c r="A57" s="2" t="s">
        <v>55</v>
      </c>
      <c r="B57" s="4">
        <v>1802811356</v>
      </c>
      <c r="C57" s="4">
        <v>1588318256</v>
      </c>
      <c r="D57" s="4">
        <v>25303900</v>
      </c>
    </row>
    <row r="58" spans="1:4">
      <c r="A58" s="2" t="s">
        <v>56</v>
      </c>
      <c r="B58" s="4">
        <v>1923363348</v>
      </c>
      <c r="C58" s="4">
        <v>1669402348</v>
      </c>
      <c r="D58" s="4">
        <v>2448000</v>
      </c>
    </row>
    <row r="59" spans="1:4">
      <c r="A59" s="2" t="s">
        <v>57</v>
      </c>
      <c r="B59" s="4">
        <v>1188669763</v>
      </c>
      <c r="C59" s="4">
        <v>984639263</v>
      </c>
      <c r="D59" s="4">
        <v>5100000</v>
      </c>
    </row>
    <row r="60" spans="1:4">
      <c r="A60" s="2" t="s">
        <v>58</v>
      </c>
      <c r="B60" s="4">
        <v>1984879971</v>
      </c>
      <c r="C60" s="4">
        <v>1774377971</v>
      </c>
      <c r="D60" s="4">
        <v>9528100</v>
      </c>
    </row>
    <row r="61" spans="1:4">
      <c r="A61" s="2" t="s">
        <v>59</v>
      </c>
      <c r="B61" s="4">
        <v>1565737809</v>
      </c>
      <c r="C61" s="4">
        <v>1358251431</v>
      </c>
      <c r="D61" s="4">
        <v>6888480</v>
      </c>
    </row>
    <row r="62" spans="1:4">
      <c r="A62" s="2" t="s">
        <v>60</v>
      </c>
      <c r="B62" s="4">
        <v>1047630215</v>
      </c>
      <c r="C62" s="4">
        <v>841563015</v>
      </c>
      <c r="D62" s="4">
        <v>0</v>
      </c>
    </row>
    <row r="63" spans="1:4">
      <c r="A63" s="2" t="s">
        <v>61</v>
      </c>
      <c r="B63" s="4">
        <v>1185979599</v>
      </c>
      <c r="C63" s="4">
        <v>976497499</v>
      </c>
      <c r="D63" s="4">
        <v>10028300</v>
      </c>
    </row>
    <row r="64" spans="1:4">
      <c r="A64" s="2" t="s">
        <v>62</v>
      </c>
      <c r="B64" s="4">
        <v>1495916861</v>
      </c>
      <c r="C64" s="4">
        <v>1291111561</v>
      </c>
      <c r="D64" s="4">
        <v>2461600</v>
      </c>
    </row>
    <row r="65" spans="1:4">
      <c r="A65" s="2" t="s">
        <v>63</v>
      </c>
      <c r="B65" s="4">
        <v>888521981</v>
      </c>
      <c r="C65" s="4">
        <v>681032221</v>
      </c>
      <c r="D65" s="4">
        <v>5011260</v>
      </c>
    </row>
    <row r="66" spans="1:4">
      <c r="A66" s="2" t="s">
        <v>64</v>
      </c>
      <c r="B66" s="4">
        <v>1609791812</v>
      </c>
      <c r="C66" s="4">
        <v>754895892</v>
      </c>
      <c r="D66" s="4">
        <v>14076000</v>
      </c>
    </row>
    <row r="67" spans="1:4" ht="24">
      <c r="A67" s="2" t="s">
        <v>65</v>
      </c>
      <c r="B67" s="4">
        <v>4565609861</v>
      </c>
      <c r="C67" s="4">
        <v>1737430701</v>
      </c>
      <c r="D67" s="4">
        <v>19650000</v>
      </c>
    </row>
    <row r="68" spans="1:4">
      <c r="B68" s="5">
        <f>SUM(B2:B67)</f>
        <v>913772477137.67993</v>
      </c>
      <c r="C68" s="5">
        <f>SUM(C2:C67)</f>
        <v>391323812820.70001</v>
      </c>
      <c r="D68" s="5">
        <f>SUM(D2:D67)</f>
        <v>5656509384</v>
      </c>
    </row>
  </sheetData>
  <pageMargins left="0.7" right="0.7" top="0.75" bottom="0.75" header="0.3" footer="0.3"/>
  <ignoredErrors>
    <ignoredError sqref="A1:D6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PAGU PER OPD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ERICK BPKAD KAB. BURU</cp:lastModifiedBy>
  <dcterms:modified xsi:type="dcterms:W3CDTF">2026-03-12T04:02:58Z</dcterms:modified>
</cp:coreProperties>
</file>