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bpkad\sipd-ri\"/>
    </mc:Choice>
  </mc:AlternateContent>
  <xr:revisionPtr revIDLastSave="0" documentId="13_ncr:1_{A1FE0C0D-8E24-469E-B6F1-1F0AFAA572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URUH" sheetId="1" r:id="rId1"/>
    <sheet name="DAU" sheetId="2" r:id="rId2"/>
    <sheet name="DAK" sheetId="3" r:id="rId3"/>
    <sheet name="PINJAM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4" l="1"/>
  <c r="N7" i="4"/>
  <c r="M7" i="4"/>
  <c r="L7" i="4"/>
  <c r="K7" i="4"/>
  <c r="J7" i="4"/>
  <c r="I7" i="4"/>
  <c r="H7" i="4"/>
  <c r="G7" i="4"/>
  <c r="F7" i="4"/>
  <c r="E7" i="4"/>
  <c r="D7" i="4"/>
  <c r="C7" i="4"/>
  <c r="B7" i="4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</calcChain>
</file>

<file path=xl/sharedStrings.xml><?xml version="1.0" encoding="utf-8"?>
<sst xmlns="http://schemas.openxmlformats.org/spreadsheetml/2006/main" count="225" uniqueCount="82">
  <si>
    <t>Nama OPD</t>
  </si>
  <si>
    <t>Belanja Operasi</t>
  </si>
  <si>
    <t>Belanja Modal</t>
  </si>
  <si>
    <t>Belanja Tidak Terduga</t>
  </si>
  <si>
    <t>Belanja Bagi Hasil</t>
  </si>
  <si>
    <t>Belanja Bantuan Keuangan</t>
  </si>
  <si>
    <t>TOTAL</t>
  </si>
  <si>
    <t>Belanja Pegawai</t>
  </si>
  <si>
    <t>Belanja Barang dan Jasa</t>
  </si>
  <si>
    <t>Belanja Bunga</t>
  </si>
  <si>
    <t>Belanja Hibah</t>
  </si>
  <si>
    <t>Belanja Bantuan Sosial</t>
  </si>
  <si>
    <t>Belanja Modal Tanah</t>
  </si>
  <si>
    <t>Belanja Modal Peralatan Mesin</t>
  </si>
  <si>
    <t>Belanja Modal Gedung dan Bangunan</t>
  </si>
  <si>
    <t>Belanja Modal Jalan, Jaringan dan Irigasi</t>
  </si>
  <si>
    <t>Belanja Modal Aset Tetap Lainnya</t>
  </si>
  <si>
    <t>Dinas Pendidikan dan Kebudayaan</t>
  </si>
  <si>
    <t>Satuan PNF Sanggar Kegiatan Belajar</t>
  </si>
  <si>
    <t>Dinas Kesehatan</t>
  </si>
  <si>
    <t>Puskesmas Namlea</t>
  </si>
  <si>
    <t>Puskesmas Sawa</t>
  </si>
  <si>
    <t>Puskesmas Waplau</t>
  </si>
  <si>
    <t>Puskesmas Wamlana</t>
  </si>
  <si>
    <t>Puskesmas Airbuaya</t>
  </si>
  <si>
    <t>Puskesmas Kayeli</t>
  </si>
  <si>
    <t>Puskesmas Ilath</t>
  </si>
  <si>
    <t>Puskesmas Savana Jaya</t>
  </si>
  <si>
    <t>Puskesmas Mako</t>
  </si>
  <si>
    <t>Puskesmas Lolong Guba</t>
  </si>
  <si>
    <t>Puskesmas Waelo</t>
  </si>
  <si>
    <t>Puskesmas Bara</t>
  </si>
  <si>
    <t>Puskesmas Waegrahe</t>
  </si>
  <si>
    <t>RSUD Namlea</t>
  </si>
  <si>
    <t>Dinas Pekerjaan Umum dan Penataan Ruang</t>
  </si>
  <si>
    <t>Dinas Perumahan dan Kawasan Pemukiman</t>
  </si>
  <si>
    <t>Dinas Satuan Polisi Pamong Praja</t>
  </si>
  <si>
    <t>Badan Penanggulangan Bencana Daerah</t>
  </si>
  <si>
    <t>Dinas Sosial</t>
  </si>
  <si>
    <t>Dinas Tenaga Kerja dan Transmigrasi</t>
  </si>
  <si>
    <t>Dinas Pemberdayaan Perempuan dan Perlindungan Anak</t>
  </si>
  <si>
    <t>Dinas Ketahanan Pangan</t>
  </si>
  <si>
    <t>Dinas Lingkungan Hidup</t>
  </si>
  <si>
    <t>Dinas Kependudukan dan Pencatatan Sipil</t>
  </si>
  <si>
    <t>Dinas Pemberdayaan Masyarakat dan Pemerintah Desa</t>
  </si>
  <si>
    <t>Dinas Pengendalian Penduduk dan Keluarga Berencana</t>
  </si>
  <si>
    <t>Dinas Perhubungan</t>
  </si>
  <si>
    <t>Dinas Komunikasi dan Informatika</t>
  </si>
  <si>
    <t>Dinas Koperasi Usaha Kecil dan Menengah</t>
  </si>
  <si>
    <t>Dinas Penanaman Modal dan Pelayanan Terpadu Satu Pintu</t>
  </si>
  <si>
    <t>Dinas Pemuda dan Olahraga</t>
  </si>
  <si>
    <t>Dinas Perpustakaan dan Arsip Daerah</t>
  </si>
  <si>
    <t>Dinas Perikanan</t>
  </si>
  <si>
    <t>Dinas Pariwisata</t>
  </si>
  <si>
    <t>Dinas Pertanian</t>
  </si>
  <si>
    <t>Dinas Perindustrian dan Perdagangan</t>
  </si>
  <si>
    <t>Bagian Tata Pemerintahan</t>
  </si>
  <si>
    <t>Bagian Hukum</t>
  </si>
  <si>
    <t>Bagian Umum dan Perlengkapan</t>
  </si>
  <si>
    <t>Bagian Ekonomi dan Pembangunan</t>
  </si>
  <si>
    <t>Bagian Kesejahteraan Rakyat</t>
  </si>
  <si>
    <t>Bagian Organisasi</t>
  </si>
  <si>
    <t>Bagian Hubungan Masyarakat dan Protokol</t>
  </si>
  <si>
    <t>Bagian Sumber Daya Alam</t>
  </si>
  <si>
    <t>Bagian Keuangan dan Perencanaan</t>
  </si>
  <si>
    <t>Sekretariat DPRD</t>
  </si>
  <si>
    <t>Badan Perencanaan Pembangunan Daerah</t>
  </si>
  <si>
    <t>Badan Pengelolaan Keuangan dan Aset Daerah</t>
  </si>
  <si>
    <t>Badan Pendapatan Daerah</t>
  </si>
  <si>
    <t>Badan Kepegawaian dan Pengembangan Sumber Daya Manusia</t>
  </si>
  <si>
    <t>Inspektorat Daerah</t>
  </si>
  <si>
    <t>Kecamatan Namlea</t>
  </si>
  <si>
    <t>Kecamatan Air Buaya</t>
  </si>
  <si>
    <t>Kecamatan Batabual</t>
  </si>
  <si>
    <t>Kecamatan Waeapo</t>
  </si>
  <si>
    <t>Kecamatan Waplau</t>
  </si>
  <si>
    <t>Kecamatan Lolong Guba</t>
  </si>
  <si>
    <t>Kecamatan Waelata</t>
  </si>
  <si>
    <t>Kecamatan Fena Leisela</t>
  </si>
  <si>
    <t>Kecamatan Teluk Kaiely</t>
  </si>
  <si>
    <t>Kecamatan Lilialy</t>
  </si>
  <si>
    <t>Badan Bina Kesatuan Bangsa dan Politik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</si>
</sst>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name val="Calibri"/>
    </font>
    <font>
      <sz val="11"/>
      <name val="Calibri"/>
    </font>
    <font>
      <b/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43" fontId="4" fillId="0" borderId="1" xfId="1" applyFont="1" applyBorder="1"/>
    <xf numFmtId="43" fontId="3" fillId="0" borderId="1" xfId="1" applyFont="1" applyBorder="1"/>
    <xf numFmtId="43" fontId="5" fillId="0" borderId="1" xfId="1" applyFont="1" applyBorder="1"/>
    <xf numFmtId="43" fontId="2" fillId="0" borderId="1" xfId="1" applyFont="1" applyBorder="1"/>
    <xf numFmtId="43" fontId="5" fillId="0" borderId="0" xfId="0" applyNumberFormat="1" applyFont="1"/>
    <xf numFmtId="0" fontId="5" fillId="0" borderId="1" xfId="0" applyFont="1" applyBorder="1"/>
    <xf numFmtId="43" fontId="5" fillId="0" borderId="1" xfId="0" applyNumberFormat="1" applyFont="1" applyBorder="1"/>
    <xf numFmtId="43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48" workbookViewId="0">
      <selection activeCell="A68" sqref="A68"/>
    </sheetView>
  </sheetViews>
  <sheetFormatPr defaultRowHeight="15.6"/>
  <cols>
    <col min="1" max="1" width="61.21875" style="6" bestFit="1" customWidth="1"/>
    <col min="2" max="3" width="20.33203125" style="6" bestFit="1" customWidth="1"/>
    <col min="4" max="5" width="19.21875" style="6" bestFit="1" customWidth="1"/>
    <col min="6" max="6" width="16.33203125" style="6" bestFit="1" customWidth="1"/>
    <col min="7" max="7" width="18.109375" style="6" bestFit="1" customWidth="1"/>
    <col min="8" max="9" width="19.21875" style="6" bestFit="1" customWidth="1"/>
    <col min="10" max="10" width="20.33203125" style="6" bestFit="1" customWidth="1"/>
    <col min="11" max="11" width="18.109375" style="6" bestFit="1" customWidth="1"/>
    <col min="12" max="12" width="22" style="6" bestFit="1" customWidth="1"/>
    <col min="13" max="13" width="18.109375" style="6" bestFit="1" customWidth="1"/>
    <col min="14" max="14" width="26.5546875" style="6" bestFit="1" customWidth="1"/>
    <col min="15" max="15" width="20.33203125" style="6" bestFit="1" customWidth="1"/>
    <col min="16" max="16384" width="8.88671875" style="6"/>
  </cols>
  <sheetData>
    <row r="1" spans="1:15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 t="s">
        <v>4</v>
      </c>
      <c r="N1" s="3" t="s">
        <v>5</v>
      </c>
      <c r="O1" s="3" t="s">
        <v>6</v>
      </c>
    </row>
    <row r="2" spans="1:15" ht="62.4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3"/>
      <c r="M2" s="3"/>
      <c r="N2" s="3"/>
      <c r="O2" s="3"/>
    </row>
    <row r="3" spans="1:15">
      <c r="A3" s="7" t="s">
        <v>17</v>
      </c>
      <c r="B3" s="8">
        <v>221726871955</v>
      </c>
      <c r="C3" s="8">
        <v>25762647500</v>
      </c>
      <c r="D3" s="8"/>
      <c r="E3" s="8">
        <v>830000000</v>
      </c>
      <c r="F3" s="8"/>
      <c r="G3" s="8"/>
      <c r="H3" s="8">
        <v>6319728600</v>
      </c>
      <c r="I3" s="8">
        <v>9500000500</v>
      </c>
      <c r="J3" s="8"/>
      <c r="K3" s="8">
        <v>4282727900</v>
      </c>
      <c r="L3" s="8"/>
      <c r="M3" s="8"/>
      <c r="N3" s="8"/>
      <c r="O3" s="9">
        <v>268421976455</v>
      </c>
    </row>
    <row r="4" spans="1:15">
      <c r="A4" s="7" t="s">
        <v>18</v>
      </c>
      <c r="B4" s="8"/>
      <c r="C4" s="8">
        <v>56329600</v>
      </c>
      <c r="D4" s="8"/>
      <c r="E4" s="8">
        <v>503520002</v>
      </c>
      <c r="F4" s="8"/>
      <c r="G4" s="8"/>
      <c r="H4" s="8">
        <v>35982800</v>
      </c>
      <c r="I4" s="8"/>
      <c r="J4" s="8"/>
      <c r="K4" s="8"/>
      <c r="L4" s="8"/>
      <c r="M4" s="8"/>
      <c r="N4" s="8"/>
      <c r="O4" s="9">
        <v>595832402</v>
      </c>
    </row>
    <row r="5" spans="1:15">
      <c r="A5" s="7" t="s">
        <v>19</v>
      </c>
      <c r="B5" s="8">
        <v>53863247347</v>
      </c>
      <c r="C5" s="8">
        <v>17545605942</v>
      </c>
      <c r="D5" s="8"/>
      <c r="E5" s="8">
        <v>150000000</v>
      </c>
      <c r="F5" s="8">
        <v>331500000</v>
      </c>
      <c r="G5" s="8"/>
      <c r="H5" s="8">
        <v>100500</v>
      </c>
      <c r="I5" s="8">
        <v>6683363637</v>
      </c>
      <c r="J5" s="8"/>
      <c r="K5" s="8"/>
      <c r="L5" s="8"/>
      <c r="M5" s="8"/>
      <c r="N5" s="8"/>
      <c r="O5" s="9">
        <v>78573817426</v>
      </c>
    </row>
    <row r="6" spans="1:15">
      <c r="A6" s="7" t="s">
        <v>20</v>
      </c>
      <c r="B6" s="8"/>
      <c r="C6" s="8">
        <v>3449462086</v>
      </c>
      <c r="D6" s="8"/>
      <c r="E6" s="8"/>
      <c r="F6" s="8"/>
      <c r="G6" s="8"/>
      <c r="H6" s="8">
        <v>81672800</v>
      </c>
      <c r="I6" s="8"/>
      <c r="J6" s="8"/>
      <c r="K6" s="8"/>
      <c r="L6" s="8"/>
      <c r="M6" s="8"/>
      <c r="N6" s="8"/>
      <c r="O6" s="9">
        <v>3531134886</v>
      </c>
    </row>
    <row r="7" spans="1:15">
      <c r="A7" s="7" t="s">
        <v>21</v>
      </c>
      <c r="B7" s="8"/>
      <c r="C7" s="8">
        <v>1377764585</v>
      </c>
      <c r="D7" s="8"/>
      <c r="E7" s="8"/>
      <c r="F7" s="8"/>
      <c r="G7" s="8"/>
      <c r="H7" s="8">
        <v>64692500</v>
      </c>
      <c r="I7" s="8"/>
      <c r="J7" s="8"/>
      <c r="K7" s="8"/>
      <c r="L7" s="8"/>
      <c r="M7" s="8"/>
      <c r="N7" s="8"/>
      <c r="O7" s="9">
        <v>1442457085</v>
      </c>
    </row>
    <row r="8" spans="1:15">
      <c r="A8" s="7" t="s">
        <v>22</v>
      </c>
      <c r="B8" s="8"/>
      <c r="C8" s="8">
        <v>1692889816</v>
      </c>
      <c r="D8" s="8"/>
      <c r="E8" s="8"/>
      <c r="F8" s="8"/>
      <c r="G8" s="8"/>
      <c r="H8" s="8">
        <v>74585800</v>
      </c>
      <c r="I8" s="8"/>
      <c r="J8" s="8"/>
      <c r="K8" s="8"/>
      <c r="L8" s="8"/>
      <c r="M8" s="8"/>
      <c r="N8" s="8"/>
      <c r="O8" s="9">
        <v>1767475616</v>
      </c>
    </row>
    <row r="9" spans="1:15">
      <c r="A9" s="7" t="s">
        <v>23</v>
      </c>
      <c r="B9" s="8"/>
      <c r="C9" s="8">
        <v>1625971503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v>1625971503</v>
      </c>
    </row>
    <row r="10" spans="1:15">
      <c r="A10" s="7" t="s">
        <v>24</v>
      </c>
      <c r="B10" s="8"/>
      <c r="C10" s="8">
        <v>1835538382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v>1835538382</v>
      </c>
    </row>
    <row r="11" spans="1:15">
      <c r="A11" s="7" t="s">
        <v>25</v>
      </c>
      <c r="B11" s="8"/>
      <c r="C11" s="8">
        <v>1159551379</v>
      </c>
      <c r="D11" s="8"/>
      <c r="E11" s="8"/>
      <c r="F11" s="8"/>
      <c r="G11" s="8"/>
      <c r="H11" s="8">
        <v>13232300</v>
      </c>
      <c r="I11" s="8"/>
      <c r="J11" s="8"/>
      <c r="K11" s="8"/>
      <c r="L11" s="8"/>
      <c r="M11" s="8"/>
      <c r="N11" s="8"/>
      <c r="O11" s="9">
        <v>1172783679</v>
      </c>
    </row>
    <row r="12" spans="1:15">
      <c r="A12" s="7" t="s">
        <v>26</v>
      </c>
      <c r="B12" s="8"/>
      <c r="C12" s="8">
        <v>1706180711</v>
      </c>
      <c r="D12" s="8"/>
      <c r="E12" s="8"/>
      <c r="F12" s="8"/>
      <c r="G12" s="8"/>
      <c r="H12" s="8">
        <v>12280200</v>
      </c>
      <c r="I12" s="8"/>
      <c r="J12" s="8"/>
      <c r="K12" s="8"/>
      <c r="L12" s="8"/>
      <c r="M12" s="8"/>
      <c r="N12" s="8"/>
      <c r="O12" s="9">
        <v>1718460911</v>
      </c>
    </row>
    <row r="13" spans="1:15">
      <c r="A13" s="7" t="s">
        <v>27</v>
      </c>
      <c r="B13" s="8"/>
      <c r="C13" s="8">
        <v>1221780287</v>
      </c>
      <c r="D13" s="8"/>
      <c r="E13" s="8"/>
      <c r="F13" s="8"/>
      <c r="G13" s="8"/>
      <c r="H13" s="8">
        <v>640300</v>
      </c>
      <c r="I13" s="8"/>
      <c r="J13" s="8"/>
      <c r="K13" s="8"/>
      <c r="L13" s="8"/>
      <c r="M13" s="8"/>
      <c r="N13" s="8"/>
      <c r="O13" s="9">
        <v>1222420587</v>
      </c>
    </row>
    <row r="14" spans="1:15">
      <c r="A14" s="7" t="s">
        <v>28</v>
      </c>
      <c r="B14" s="8"/>
      <c r="C14" s="8">
        <v>1765683752</v>
      </c>
      <c r="D14" s="8"/>
      <c r="E14" s="8"/>
      <c r="F14" s="8"/>
      <c r="G14" s="8"/>
      <c r="H14" s="8">
        <v>3841600</v>
      </c>
      <c r="I14" s="8"/>
      <c r="J14" s="8"/>
      <c r="K14" s="8"/>
      <c r="L14" s="8"/>
      <c r="M14" s="8"/>
      <c r="N14" s="8"/>
      <c r="O14" s="9">
        <v>1769525352</v>
      </c>
    </row>
    <row r="15" spans="1:15">
      <c r="A15" s="7" t="s">
        <v>29</v>
      </c>
      <c r="B15" s="8"/>
      <c r="C15" s="8">
        <v>1890173275.9999998</v>
      </c>
      <c r="D15" s="8"/>
      <c r="E15" s="8"/>
      <c r="F15" s="8"/>
      <c r="G15" s="8"/>
      <c r="H15" s="8">
        <v>40008500</v>
      </c>
      <c r="I15" s="8"/>
      <c r="J15" s="8"/>
      <c r="K15" s="8"/>
      <c r="L15" s="8"/>
      <c r="M15" s="8"/>
      <c r="N15" s="8"/>
      <c r="O15" s="9">
        <v>1930181775.9999998</v>
      </c>
    </row>
    <row r="16" spans="1:15">
      <c r="A16" s="7" t="s">
        <v>30</v>
      </c>
      <c r="B16" s="8"/>
      <c r="C16" s="8">
        <v>1713636005</v>
      </c>
      <c r="D16" s="8"/>
      <c r="E16" s="8"/>
      <c r="F16" s="8"/>
      <c r="G16" s="8"/>
      <c r="H16" s="8">
        <v>42049800</v>
      </c>
      <c r="I16" s="8"/>
      <c r="J16" s="8"/>
      <c r="K16" s="8"/>
      <c r="L16" s="8"/>
      <c r="M16" s="8"/>
      <c r="N16" s="8"/>
      <c r="O16" s="9">
        <v>1755685805</v>
      </c>
    </row>
    <row r="17" spans="1:15">
      <c r="A17" s="7" t="s">
        <v>31</v>
      </c>
      <c r="B17" s="8"/>
      <c r="C17" s="8">
        <v>944000026</v>
      </c>
      <c r="D17" s="8"/>
      <c r="E17" s="8"/>
      <c r="F17" s="8"/>
      <c r="G17" s="8"/>
      <c r="H17" s="8">
        <v>2932400</v>
      </c>
      <c r="I17" s="8"/>
      <c r="J17" s="8"/>
      <c r="K17" s="8"/>
      <c r="L17" s="8"/>
      <c r="M17" s="8"/>
      <c r="N17" s="8"/>
      <c r="O17" s="9">
        <v>946932426</v>
      </c>
    </row>
    <row r="18" spans="1:15">
      <c r="A18" s="7" t="s">
        <v>32</v>
      </c>
      <c r="B18" s="8"/>
      <c r="C18" s="8">
        <v>927182502</v>
      </c>
      <c r="D18" s="8"/>
      <c r="E18" s="8"/>
      <c r="F18" s="8"/>
      <c r="G18" s="8"/>
      <c r="H18" s="8">
        <v>41000</v>
      </c>
      <c r="I18" s="8"/>
      <c r="J18" s="8"/>
      <c r="K18" s="8"/>
      <c r="L18" s="8"/>
      <c r="M18" s="8"/>
      <c r="N18" s="8"/>
      <c r="O18" s="9">
        <v>927223502</v>
      </c>
    </row>
    <row r="19" spans="1:15">
      <c r="A19" s="7" t="s">
        <v>33</v>
      </c>
      <c r="B19" s="8">
        <v>15833047586</v>
      </c>
      <c r="C19" s="8">
        <v>19736721181</v>
      </c>
      <c r="D19" s="8"/>
      <c r="E19" s="8"/>
      <c r="F19" s="8"/>
      <c r="G19" s="8"/>
      <c r="H19" s="8">
        <v>271045200</v>
      </c>
      <c r="I19" s="8">
        <v>21471975211</v>
      </c>
      <c r="J19" s="8"/>
      <c r="K19" s="8"/>
      <c r="L19" s="8"/>
      <c r="M19" s="8"/>
      <c r="N19" s="8"/>
      <c r="O19" s="9">
        <v>57312789178</v>
      </c>
    </row>
    <row r="20" spans="1:15">
      <c r="A20" s="7" t="s">
        <v>34</v>
      </c>
      <c r="B20" s="8">
        <v>8112462236</v>
      </c>
      <c r="C20" s="8">
        <v>1764757000</v>
      </c>
      <c r="D20" s="8"/>
      <c r="E20" s="8"/>
      <c r="F20" s="8"/>
      <c r="G20" s="8">
        <v>6150000000</v>
      </c>
      <c r="H20" s="8">
        <v>57000000</v>
      </c>
      <c r="I20" s="8">
        <v>7300024000</v>
      </c>
      <c r="J20" s="8">
        <v>137327054549</v>
      </c>
      <c r="K20" s="8"/>
      <c r="L20" s="8"/>
      <c r="M20" s="8"/>
      <c r="N20" s="8"/>
      <c r="O20" s="9">
        <v>160711297785</v>
      </c>
    </row>
    <row r="21" spans="1:15">
      <c r="A21" s="7" t="s">
        <v>35</v>
      </c>
      <c r="B21" s="8">
        <v>2542213988</v>
      </c>
      <c r="C21" s="8">
        <v>1899778745</v>
      </c>
      <c r="D21" s="8"/>
      <c r="E21" s="8"/>
      <c r="F21" s="8">
        <v>0</v>
      </c>
      <c r="G21" s="8">
        <v>230000000</v>
      </c>
      <c r="H21" s="8">
        <v>12805600</v>
      </c>
      <c r="I21" s="8">
        <v>0</v>
      </c>
      <c r="J21" s="8">
        <v>1699425000</v>
      </c>
      <c r="K21" s="8"/>
      <c r="L21" s="8"/>
      <c r="M21" s="8"/>
      <c r="N21" s="8"/>
      <c r="O21" s="9">
        <v>6384223333</v>
      </c>
    </row>
    <row r="22" spans="1:15">
      <c r="A22" s="7" t="s">
        <v>36</v>
      </c>
      <c r="B22" s="8">
        <v>6133318698</v>
      </c>
      <c r="C22" s="8">
        <v>530625000</v>
      </c>
      <c r="D22" s="8"/>
      <c r="E22" s="8"/>
      <c r="F22" s="8"/>
      <c r="G22" s="8"/>
      <c r="H22" s="8">
        <v>1100000000</v>
      </c>
      <c r="I22" s="8"/>
      <c r="J22" s="8"/>
      <c r="K22" s="8"/>
      <c r="L22" s="8"/>
      <c r="M22" s="8"/>
      <c r="N22" s="8"/>
      <c r="O22" s="9">
        <v>7763943698</v>
      </c>
    </row>
    <row r="23" spans="1:15">
      <c r="A23" s="7" t="s">
        <v>37</v>
      </c>
      <c r="B23" s="8">
        <v>1816277391</v>
      </c>
      <c r="C23" s="8">
        <v>330833339</v>
      </c>
      <c r="D23" s="8"/>
      <c r="E23" s="8"/>
      <c r="F23" s="8"/>
      <c r="G23" s="8"/>
      <c r="H23" s="8">
        <v>49172200</v>
      </c>
      <c r="I23" s="8"/>
      <c r="J23" s="8"/>
      <c r="K23" s="8"/>
      <c r="L23" s="8"/>
      <c r="M23" s="8"/>
      <c r="N23" s="8"/>
      <c r="O23" s="9">
        <v>2196282930</v>
      </c>
    </row>
    <row r="24" spans="1:15">
      <c r="A24" s="7" t="s">
        <v>38</v>
      </c>
      <c r="B24" s="8">
        <v>2435963169</v>
      </c>
      <c r="C24" s="8">
        <v>573932100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>
        <v>3009895269</v>
      </c>
    </row>
    <row r="25" spans="1:15">
      <c r="A25" s="7" t="s">
        <v>39</v>
      </c>
      <c r="B25" s="8">
        <v>2672519135</v>
      </c>
      <c r="C25" s="8">
        <v>404543050</v>
      </c>
      <c r="D25" s="8"/>
      <c r="E25" s="8"/>
      <c r="F25" s="8"/>
      <c r="G25" s="8"/>
      <c r="H25" s="8">
        <v>3073400</v>
      </c>
      <c r="I25" s="8"/>
      <c r="J25" s="8"/>
      <c r="K25" s="8"/>
      <c r="L25" s="8"/>
      <c r="M25" s="8"/>
      <c r="N25" s="8"/>
      <c r="O25" s="9">
        <v>3080135585</v>
      </c>
    </row>
    <row r="26" spans="1:15">
      <c r="A26" s="7" t="s">
        <v>40</v>
      </c>
      <c r="B26" s="8">
        <v>1196281488</v>
      </c>
      <c r="C26" s="8">
        <v>365293950</v>
      </c>
      <c r="D26" s="8"/>
      <c r="E26" s="8">
        <v>750000000</v>
      </c>
      <c r="F26" s="8"/>
      <c r="G26" s="8"/>
      <c r="H26" s="8"/>
      <c r="I26" s="8"/>
      <c r="J26" s="8"/>
      <c r="K26" s="8"/>
      <c r="L26" s="8"/>
      <c r="M26" s="8"/>
      <c r="N26" s="8"/>
      <c r="O26" s="9">
        <v>2311575438</v>
      </c>
    </row>
    <row r="27" spans="1:15">
      <c r="A27" s="7" t="s">
        <v>41</v>
      </c>
      <c r="B27" s="8">
        <v>1569749364</v>
      </c>
      <c r="C27" s="8">
        <v>634544020</v>
      </c>
      <c r="D27" s="8"/>
      <c r="E27" s="8"/>
      <c r="F27" s="8"/>
      <c r="G27" s="8"/>
      <c r="H27" s="8">
        <v>55551800</v>
      </c>
      <c r="I27" s="8"/>
      <c r="J27" s="8"/>
      <c r="K27" s="8"/>
      <c r="L27" s="8"/>
      <c r="M27" s="8"/>
      <c r="N27" s="8"/>
      <c r="O27" s="9">
        <v>2259845184</v>
      </c>
    </row>
    <row r="28" spans="1:15">
      <c r="A28" s="7" t="s">
        <v>42</v>
      </c>
      <c r="B28" s="8">
        <v>2456547412</v>
      </c>
      <c r="C28" s="8">
        <v>2453622300</v>
      </c>
      <c r="D28" s="8"/>
      <c r="E28" s="8"/>
      <c r="F28" s="8"/>
      <c r="G28" s="8"/>
      <c r="H28" s="8">
        <v>2031800000</v>
      </c>
      <c r="I28" s="8"/>
      <c r="J28" s="8"/>
      <c r="K28" s="8"/>
      <c r="L28" s="8"/>
      <c r="M28" s="8"/>
      <c r="N28" s="8"/>
      <c r="O28" s="9">
        <v>6941969712</v>
      </c>
    </row>
    <row r="29" spans="1:15">
      <c r="A29" s="7" t="s">
        <v>43</v>
      </c>
      <c r="B29" s="8">
        <v>1841850791</v>
      </c>
      <c r="C29" s="8">
        <v>480769687</v>
      </c>
      <c r="D29" s="8"/>
      <c r="E29" s="8"/>
      <c r="F29" s="8"/>
      <c r="G29" s="8"/>
      <c r="H29" s="8">
        <v>79123000</v>
      </c>
      <c r="I29" s="8"/>
      <c r="J29" s="8"/>
      <c r="K29" s="8"/>
      <c r="L29" s="8"/>
      <c r="M29" s="8"/>
      <c r="N29" s="8"/>
      <c r="O29" s="9">
        <v>2401743478</v>
      </c>
    </row>
    <row r="30" spans="1:15">
      <c r="A30" s="7" t="s">
        <v>44</v>
      </c>
      <c r="B30" s="8">
        <v>3071360349</v>
      </c>
      <c r="C30" s="8">
        <v>3212822495</v>
      </c>
      <c r="D30" s="8"/>
      <c r="E30" s="8"/>
      <c r="F30" s="8"/>
      <c r="G30" s="8"/>
      <c r="H30" s="8">
        <v>69474700</v>
      </c>
      <c r="I30" s="8"/>
      <c r="J30" s="8"/>
      <c r="K30" s="8"/>
      <c r="L30" s="8"/>
      <c r="M30" s="8"/>
      <c r="N30" s="8"/>
      <c r="O30" s="9">
        <v>6353657544</v>
      </c>
    </row>
    <row r="31" spans="1:15">
      <c r="A31" s="7" t="s">
        <v>45</v>
      </c>
      <c r="B31" s="8">
        <v>847887722</v>
      </c>
      <c r="C31" s="8">
        <v>2182777000</v>
      </c>
      <c r="D31" s="8"/>
      <c r="E31" s="8"/>
      <c r="F31" s="8">
        <v>9450000</v>
      </c>
      <c r="G31" s="8"/>
      <c r="H31" s="8">
        <v>43448200</v>
      </c>
      <c r="I31" s="8"/>
      <c r="J31" s="8"/>
      <c r="K31" s="8"/>
      <c r="L31" s="8"/>
      <c r="M31" s="8"/>
      <c r="N31" s="8"/>
      <c r="O31" s="9">
        <v>3083562922</v>
      </c>
    </row>
    <row r="32" spans="1:15">
      <c r="A32" s="7" t="s">
        <v>46</v>
      </c>
      <c r="B32" s="8">
        <v>2839963511</v>
      </c>
      <c r="C32" s="8">
        <v>406152940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>
        <v>3246116451</v>
      </c>
    </row>
    <row r="33" spans="1:15">
      <c r="A33" s="7" t="s">
        <v>47</v>
      </c>
      <c r="B33" s="8">
        <v>1483302474</v>
      </c>
      <c r="C33" s="8">
        <v>522871194.98000002</v>
      </c>
      <c r="D33" s="8"/>
      <c r="E33" s="8">
        <v>85000000</v>
      </c>
      <c r="F33" s="8"/>
      <c r="G33" s="8"/>
      <c r="H33" s="8">
        <v>40000000</v>
      </c>
      <c r="I33" s="8"/>
      <c r="J33" s="8"/>
      <c r="K33" s="8"/>
      <c r="L33" s="8"/>
      <c r="M33" s="8"/>
      <c r="N33" s="8"/>
      <c r="O33" s="9">
        <v>2131173668.98</v>
      </c>
    </row>
    <row r="34" spans="1:15">
      <c r="A34" s="7" t="s">
        <v>48</v>
      </c>
      <c r="B34" s="8">
        <v>2114166243</v>
      </c>
      <c r="C34" s="8">
        <v>415690100</v>
      </c>
      <c r="D34" s="8"/>
      <c r="E34" s="8">
        <v>793000000</v>
      </c>
      <c r="F34" s="8"/>
      <c r="G34" s="8"/>
      <c r="H34" s="8">
        <v>35394900</v>
      </c>
      <c r="I34" s="8"/>
      <c r="J34" s="8"/>
      <c r="K34" s="8"/>
      <c r="L34" s="8"/>
      <c r="M34" s="8"/>
      <c r="N34" s="8"/>
      <c r="O34" s="9">
        <v>3358251243</v>
      </c>
    </row>
    <row r="35" spans="1:15">
      <c r="A35" s="7" t="s">
        <v>49</v>
      </c>
      <c r="B35" s="8">
        <v>1450481193</v>
      </c>
      <c r="C35" s="8">
        <v>409711100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>
        <v>1860192293</v>
      </c>
    </row>
    <row r="36" spans="1:15">
      <c r="A36" s="7" t="s">
        <v>50</v>
      </c>
      <c r="B36" s="8">
        <v>1180271670</v>
      </c>
      <c r="C36" s="8">
        <v>1174217200</v>
      </c>
      <c r="D36" s="8"/>
      <c r="E36" s="8">
        <v>2225000000</v>
      </c>
      <c r="F36" s="8"/>
      <c r="G36" s="8"/>
      <c r="H36" s="8">
        <v>179360800</v>
      </c>
      <c r="I36" s="8"/>
      <c r="J36" s="8"/>
      <c r="K36" s="8"/>
      <c r="L36" s="8"/>
      <c r="M36" s="8"/>
      <c r="N36" s="8"/>
      <c r="O36" s="9">
        <v>4758849670</v>
      </c>
    </row>
    <row r="37" spans="1:15">
      <c r="A37" s="7" t="s">
        <v>51</v>
      </c>
      <c r="B37" s="8">
        <v>1814135575</v>
      </c>
      <c r="C37" s="8">
        <v>810316500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>
        <v>2624452075</v>
      </c>
    </row>
    <row r="38" spans="1:15">
      <c r="A38" s="7" t="s">
        <v>52</v>
      </c>
      <c r="B38" s="8">
        <v>3491069765</v>
      </c>
      <c r="C38" s="8">
        <v>478714280</v>
      </c>
      <c r="D38" s="8"/>
      <c r="E38" s="8"/>
      <c r="F38" s="8"/>
      <c r="G38" s="8"/>
      <c r="H38" s="8">
        <v>15635300</v>
      </c>
      <c r="I38" s="8"/>
      <c r="J38" s="8"/>
      <c r="K38" s="8"/>
      <c r="L38" s="8"/>
      <c r="M38" s="8"/>
      <c r="N38" s="8"/>
      <c r="O38" s="9">
        <v>3985419345</v>
      </c>
    </row>
    <row r="39" spans="1:15">
      <c r="A39" s="7" t="s">
        <v>53</v>
      </c>
      <c r="B39" s="8">
        <v>1509559889</v>
      </c>
      <c r="C39" s="8">
        <v>503801400</v>
      </c>
      <c r="D39" s="8"/>
      <c r="E39" s="8"/>
      <c r="F39" s="8"/>
      <c r="G39" s="8"/>
      <c r="H39" s="8">
        <v>241372000</v>
      </c>
      <c r="I39" s="8"/>
      <c r="J39" s="8"/>
      <c r="K39" s="8"/>
      <c r="L39" s="8"/>
      <c r="M39" s="8"/>
      <c r="N39" s="8"/>
      <c r="O39" s="9">
        <v>2254733289</v>
      </c>
    </row>
    <row r="40" spans="1:15">
      <c r="A40" s="7" t="s">
        <v>54</v>
      </c>
      <c r="B40" s="8">
        <v>9636840203</v>
      </c>
      <c r="C40" s="8">
        <v>1017874700</v>
      </c>
      <c r="D40" s="8"/>
      <c r="E40" s="8"/>
      <c r="F40" s="8"/>
      <c r="G40" s="8"/>
      <c r="H40" s="8">
        <v>23453100</v>
      </c>
      <c r="I40" s="8"/>
      <c r="J40" s="8"/>
      <c r="K40" s="8"/>
      <c r="L40" s="8"/>
      <c r="M40" s="8"/>
      <c r="N40" s="8"/>
      <c r="O40" s="9">
        <v>10678168003</v>
      </c>
    </row>
    <row r="41" spans="1:15">
      <c r="A41" s="7" t="s">
        <v>55</v>
      </c>
      <c r="B41" s="8">
        <v>3130033321</v>
      </c>
      <c r="C41" s="8">
        <v>967352000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>
        <v>4097385321</v>
      </c>
    </row>
    <row r="42" spans="1:15">
      <c r="A42" s="7" t="s">
        <v>56</v>
      </c>
      <c r="B42" s="8"/>
      <c r="C42" s="8">
        <v>300000000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>
        <v>300000000</v>
      </c>
    </row>
    <row r="43" spans="1:15">
      <c r="A43" s="7" t="s">
        <v>57</v>
      </c>
      <c r="B43" s="8"/>
      <c r="C43" s="8">
        <v>474999200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>
        <v>474999200</v>
      </c>
    </row>
    <row r="44" spans="1:15">
      <c r="A44" s="7" t="s">
        <v>58</v>
      </c>
      <c r="B44" s="8"/>
      <c r="C44" s="8">
        <v>9692918050</v>
      </c>
      <c r="D44" s="8"/>
      <c r="E44" s="8">
        <v>650000000</v>
      </c>
      <c r="F44" s="8"/>
      <c r="G44" s="8"/>
      <c r="H44" s="8">
        <v>5208000300</v>
      </c>
      <c r="I44" s="8">
        <v>3955712390</v>
      </c>
      <c r="J44" s="8"/>
      <c r="K44" s="8"/>
      <c r="L44" s="8"/>
      <c r="M44" s="8"/>
      <c r="N44" s="8"/>
      <c r="O44" s="9">
        <v>19506630740</v>
      </c>
    </row>
    <row r="45" spans="1:15">
      <c r="A45" s="7" t="s">
        <v>59</v>
      </c>
      <c r="B45" s="8"/>
      <c r="C45" s="8">
        <v>390000000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>
        <v>390000000</v>
      </c>
    </row>
    <row r="46" spans="1:15">
      <c r="A46" s="7" t="s">
        <v>60</v>
      </c>
      <c r="B46" s="8"/>
      <c r="C46" s="8">
        <v>149999600</v>
      </c>
      <c r="D46" s="8"/>
      <c r="E46" s="8">
        <v>3680000000</v>
      </c>
      <c r="F46" s="8">
        <v>150000000</v>
      </c>
      <c r="G46" s="8"/>
      <c r="H46" s="8"/>
      <c r="I46" s="8"/>
      <c r="J46" s="8"/>
      <c r="K46" s="8"/>
      <c r="L46" s="8"/>
      <c r="M46" s="8"/>
      <c r="N46" s="8"/>
      <c r="O46" s="9">
        <v>3979999600</v>
      </c>
    </row>
    <row r="47" spans="1:15">
      <c r="A47" s="7" t="s">
        <v>61</v>
      </c>
      <c r="B47" s="8"/>
      <c r="C47" s="8">
        <v>149996900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>
        <v>149996900</v>
      </c>
    </row>
    <row r="48" spans="1:15">
      <c r="A48" s="7" t="s">
        <v>62</v>
      </c>
      <c r="B48" s="8"/>
      <c r="C48" s="8">
        <v>574826900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>
        <v>574826900</v>
      </c>
    </row>
    <row r="49" spans="1:15">
      <c r="A49" s="7" t="s">
        <v>63</v>
      </c>
      <c r="B49" s="8"/>
      <c r="C49" s="8">
        <v>149882800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>
        <v>149882800</v>
      </c>
    </row>
    <row r="50" spans="1:15">
      <c r="A50" s="7" t="s">
        <v>64</v>
      </c>
      <c r="B50" s="8">
        <v>8303616431</v>
      </c>
      <c r="C50" s="8">
        <v>6400995400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>
        <v>14704611831</v>
      </c>
    </row>
    <row r="51" spans="1:15">
      <c r="A51" s="7" t="s">
        <v>65</v>
      </c>
      <c r="B51" s="8">
        <v>16307216516</v>
      </c>
      <c r="C51" s="8">
        <v>12354681900</v>
      </c>
      <c r="D51" s="8"/>
      <c r="E51" s="8"/>
      <c r="F51" s="8"/>
      <c r="G51" s="8"/>
      <c r="H51" s="8">
        <v>317090400</v>
      </c>
      <c r="I51" s="8"/>
      <c r="J51" s="8"/>
      <c r="K51" s="8"/>
      <c r="L51" s="8"/>
      <c r="M51" s="8"/>
      <c r="N51" s="8"/>
      <c r="O51" s="9">
        <v>28978988816</v>
      </c>
    </row>
    <row r="52" spans="1:15">
      <c r="A52" s="7" t="s">
        <v>66</v>
      </c>
      <c r="B52" s="8">
        <v>3671404804</v>
      </c>
      <c r="C52" s="8">
        <v>1816054180</v>
      </c>
      <c r="D52" s="8"/>
      <c r="E52" s="8"/>
      <c r="F52" s="8"/>
      <c r="G52" s="8"/>
      <c r="H52" s="8">
        <v>150187600</v>
      </c>
      <c r="I52" s="8"/>
      <c r="J52" s="8"/>
      <c r="K52" s="8"/>
      <c r="L52" s="8"/>
      <c r="M52" s="8"/>
      <c r="N52" s="8"/>
      <c r="O52" s="9">
        <v>5637646584</v>
      </c>
    </row>
    <row r="53" spans="1:15">
      <c r="A53" s="7" t="s">
        <v>67</v>
      </c>
      <c r="B53" s="8">
        <v>4969476859.6999998</v>
      </c>
      <c r="C53" s="8">
        <v>3617258800</v>
      </c>
      <c r="D53" s="8">
        <v>10500000000</v>
      </c>
      <c r="E53" s="8"/>
      <c r="F53" s="8"/>
      <c r="G53" s="8"/>
      <c r="H53" s="8">
        <v>62380000</v>
      </c>
      <c r="I53" s="8"/>
      <c r="J53" s="8"/>
      <c r="K53" s="8"/>
      <c r="L53" s="8">
        <v>5000000000</v>
      </c>
      <c r="M53" s="8">
        <v>3601929957</v>
      </c>
      <c r="N53" s="8">
        <v>105985258300</v>
      </c>
      <c r="O53" s="9">
        <v>133736303916.7</v>
      </c>
    </row>
    <row r="54" spans="1:15">
      <c r="A54" s="7" t="s">
        <v>68</v>
      </c>
      <c r="B54" s="8">
        <v>3090084187</v>
      </c>
      <c r="C54" s="8">
        <v>978275700</v>
      </c>
      <c r="D54" s="8"/>
      <c r="E54" s="8"/>
      <c r="F54" s="8"/>
      <c r="G54" s="8"/>
      <c r="H54" s="8">
        <v>45147000</v>
      </c>
      <c r="I54" s="8"/>
      <c r="J54" s="8"/>
      <c r="K54" s="8"/>
      <c r="L54" s="8"/>
      <c r="M54" s="8"/>
      <c r="N54" s="8"/>
      <c r="O54" s="9">
        <v>4113506887</v>
      </c>
    </row>
    <row r="55" spans="1:15">
      <c r="A55" s="7" t="s">
        <v>69</v>
      </c>
      <c r="B55" s="8">
        <v>4023920224</v>
      </c>
      <c r="C55" s="8">
        <v>1551095310</v>
      </c>
      <c r="D55" s="8"/>
      <c r="E55" s="8"/>
      <c r="F55" s="8"/>
      <c r="G55" s="8"/>
      <c r="H55" s="8">
        <v>41386500</v>
      </c>
      <c r="I55" s="8"/>
      <c r="J55" s="8"/>
      <c r="K55" s="8"/>
      <c r="L55" s="8"/>
      <c r="M55" s="8"/>
      <c r="N55" s="8"/>
      <c r="O55" s="9">
        <v>5616402034</v>
      </c>
    </row>
    <row r="56" spans="1:15">
      <c r="A56" s="7" t="s">
        <v>70</v>
      </c>
      <c r="B56" s="8">
        <v>3442413425</v>
      </c>
      <c r="C56" s="8">
        <v>714273720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>
        <v>4156687145</v>
      </c>
    </row>
    <row r="57" spans="1:15">
      <c r="A57" s="7" t="s">
        <v>71</v>
      </c>
      <c r="B57" s="8">
        <v>1588318256</v>
      </c>
      <c r="C57" s="8">
        <v>206553700</v>
      </c>
      <c r="D57" s="8"/>
      <c r="E57" s="8"/>
      <c r="F57" s="8"/>
      <c r="G57" s="8"/>
      <c r="H57" s="8">
        <v>7939400</v>
      </c>
      <c r="I57" s="8"/>
      <c r="J57" s="8"/>
      <c r="K57" s="8"/>
      <c r="L57" s="8"/>
      <c r="M57" s="8"/>
      <c r="N57" s="8"/>
      <c r="O57" s="9">
        <v>1802811356</v>
      </c>
    </row>
    <row r="58" spans="1:15">
      <c r="A58" s="7" t="s">
        <v>72</v>
      </c>
      <c r="B58" s="8">
        <v>1669402348</v>
      </c>
      <c r="C58" s="8">
        <v>185363800</v>
      </c>
      <c r="D58" s="8"/>
      <c r="E58" s="8"/>
      <c r="F58" s="8"/>
      <c r="G58" s="8"/>
      <c r="H58" s="8">
        <v>68597200</v>
      </c>
      <c r="I58" s="8"/>
      <c r="J58" s="8"/>
      <c r="K58" s="8"/>
      <c r="L58" s="8"/>
      <c r="M58" s="8"/>
      <c r="N58" s="8"/>
      <c r="O58" s="9">
        <v>1923363348</v>
      </c>
    </row>
    <row r="59" spans="1:15">
      <c r="A59" s="7" t="s">
        <v>73</v>
      </c>
      <c r="B59" s="8">
        <v>984639263</v>
      </c>
      <c r="C59" s="8">
        <v>138115000</v>
      </c>
      <c r="D59" s="8"/>
      <c r="E59" s="8"/>
      <c r="F59" s="8"/>
      <c r="G59" s="8"/>
      <c r="H59" s="8">
        <v>65915500</v>
      </c>
      <c r="I59" s="8"/>
      <c r="J59" s="8"/>
      <c r="K59" s="8"/>
      <c r="L59" s="8"/>
      <c r="M59" s="8"/>
      <c r="N59" s="8"/>
      <c r="O59" s="9">
        <v>1188669763</v>
      </c>
    </row>
    <row r="60" spans="1:15">
      <c r="A60" s="7" t="s">
        <v>74</v>
      </c>
      <c r="B60" s="8">
        <v>1774377971</v>
      </c>
      <c r="C60" s="8">
        <v>173548500</v>
      </c>
      <c r="D60" s="8"/>
      <c r="E60" s="8"/>
      <c r="F60" s="8"/>
      <c r="G60" s="8"/>
      <c r="H60" s="8">
        <v>36953500</v>
      </c>
      <c r="I60" s="8"/>
      <c r="J60" s="8"/>
      <c r="K60" s="8"/>
      <c r="L60" s="8"/>
      <c r="M60" s="8"/>
      <c r="N60" s="8"/>
      <c r="O60" s="9">
        <v>1984879971</v>
      </c>
    </row>
    <row r="61" spans="1:15">
      <c r="A61" s="7" t="s">
        <v>75</v>
      </c>
      <c r="B61" s="8">
        <v>1358251431</v>
      </c>
      <c r="C61" s="8">
        <v>144494778</v>
      </c>
      <c r="D61" s="8"/>
      <c r="E61" s="8"/>
      <c r="F61" s="8"/>
      <c r="G61" s="8"/>
      <c r="H61" s="8">
        <v>62991600</v>
      </c>
      <c r="I61" s="8"/>
      <c r="J61" s="8"/>
      <c r="K61" s="8"/>
      <c r="L61" s="8"/>
      <c r="M61" s="8"/>
      <c r="N61" s="8"/>
      <c r="O61" s="9">
        <v>1565737809</v>
      </c>
    </row>
    <row r="62" spans="1:15">
      <c r="A62" s="7" t="s">
        <v>76</v>
      </c>
      <c r="B62" s="8">
        <v>841563015</v>
      </c>
      <c r="C62" s="8">
        <v>155379000</v>
      </c>
      <c r="D62" s="8"/>
      <c r="E62" s="8"/>
      <c r="F62" s="8"/>
      <c r="G62" s="8"/>
      <c r="H62" s="8">
        <v>50688200</v>
      </c>
      <c r="I62" s="8"/>
      <c r="J62" s="8"/>
      <c r="K62" s="8"/>
      <c r="L62" s="8"/>
      <c r="M62" s="8"/>
      <c r="N62" s="8"/>
      <c r="O62" s="9">
        <v>1047630215</v>
      </c>
    </row>
    <row r="63" spans="1:15">
      <c r="A63" s="7" t="s">
        <v>77</v>
      </c>
      <c r="B63" s="8">
        <v>976497499</v>
      </c>
      <c r="C63" s="8">
        <v>160175200</v>
      </c>
      <c r="D63" s="8"/>
      <c r="E63" s="8"/>
      <c r="F63" s="8"/>
      <c r="G63" s="8"/>
      <c r="H63" s="8">
        <v>49306900</v>
      </c>
      <c r="I63" s="8"/>
      <c r="J63" s="8"/>
      <c r="K63" s="8"/>
      <c r="L63" s="8"/>
      <c r="M63" s="8"/>
      <c r="N63" s="8"/>
      <c r="O63" s="9">
        <v>1185979599</v>
      </c>
    </row>
    <row r="64" spans="1:15">
      <c r="A64" s="7" t="s">
        <v>78</v>
      </c>
      <c r="B64" s="8">
        <v>1291111561</v>
      </c>
      <c r="C64" s="8">
        <v>162033900</v>
      </c>
      <c r="D64" s="8"/>
      <c r="E64" s="8"/>
      <c r="F64" s="8"/>
      <c r="G64" s="8"/>
      <c r="H64" s="8">
        <v>42771400</v>
      </c>
      <c r="I64" s="8"/>
      <c r="J64" s="8"/>
      <c r="K64" s="8"/>
      <c r="L64" s="8"/>
      <c r="M64" s="8"/>
      <c r="N64" s="8"/>
      <c r="O64" s="9">
        <v>1495916861</v>
      </c>
    </row>
    <row r="65" spans="1:15">
      <c r="A65" s="7" t="s">
        <v>79</v>
      </c>
      <c r="B65" s="8">
        <v>681032221</v>
      </c>
      <c r="C65" s="8">
        <v>116748060</v>
      </c>
      <c r="D65" s="8"/>
      <c r="E65" s="8"/>
      <c r="F65" s="8"/>
      <c r="G65" s="8"/>
      <c r="H65" s="8">
        <v>90741700</v>
      </c>
      <c r="I65" s="8"/>
      <c r="J65" s="8"/>
      <c r="K65" s="8"/>
      <c r="L65" s="8"/>
      <c r="M65" s="8"/>
      <c r="N65" s="8"/>
      <c r="O65" s="9">
        <v>888521981</v>
      </c>
    </row>
    <row r="66" spans="1:15">
      <c r="A66" s="7" t="s">
        <v>80</v>
      </c>
      <c r="B66" s="8">
        <v>754895892</v>
      </c>
      <c r="C66" s="8">
        <v>425058920</v>
      </c>
      <c r="D66" s="8"/>
      <c r="E66" s="8"/>
      <c r="F66" s="8"/>
      <c r="G66" s="8">
        <v>270000000</v>
      </c>
      <c r="H66" s="8">
        <v>159837000</v>
      </c>
      <c r="I66" s="8"/>
      <c r="J66" s="8"/>
      <c r="K66" s="8"/>
      <c r="L66" s="8"/>
      <c r="M66" s="8"/>
      <c r="N66" s="8"/>
      <c r="O66" s="9">
        <v>1609791812</v>
      </c>
    </row>
    <row r="67" spans="1:15">
      <c r="A67" s="7" t="s">
        <v>81</v>
      </c>
      <c r="B67" s="8">
        <v>1737430701</v>
      </c>
      <c r="C67" s="8">
        <v>1663339800</v>
      </c>
      <c r="D67" s="8"/>
      <c r="E67" s="8">
        <v>1164839360</v>
      </c>
      <c r="F67" s="8"/>
      <c r="G67" s="8"/>
      <c r="H67" s="8">
        <v>0</v>
      </c>
      <c r="I67" s="8"/>
      <c r="J67" s="8"/>
      <c r="K67" s="8"/>
      <c r="L67" s="8"/>
      <c r="M67" s="8"/>
      <c r="N67" s="8"/>
      <c r="O67" s="9">
        <v>4565609861</v>
      </c>
    </row>
    <row r="68" spans="1:15">
      <c r="A68" s="16" t="s">
        <v>6</v>
      </c>
      <c r="B68" s="10">
        <f>SUM(B3:B67)</f>
        <v>412235075079.70001</v>
      </c>
      <c r="C68" s="10">
        <f>SUM(C3:C67)</f>
        <v>148798187751.97998</v>
      </c>
      <c r="D68" s="10">
        <f>SUM(D3:D67)</f>
        <v>10500000000</v>
      </c>
      <c r="E68" s="10">
        <f>SUM(E3:E67)</f>
        <v>10831359362</v>
      </c>
      <c r="F68" s="10">
        <f>SUM(F3:F67)</f>
        <v>490950000</v>
      </c>
      <c r="G68" s="10">
        <f>SUM(G3:G67)</f>
        <v>6650000000</v>
      </c>
      <c r="H68" s="10">
        <f>SUM(H3:H67)</f>
        <v>17459433500</v>
      </c>
      <c r="I68" s="10">
        <f>SUM(I3:I67)</f>
        <v>48911075738</v>
      </c>
      <c r="J68" s="10">
        <f>SUM(J3:J67)</f>
        <v>139026479549</v>
      </c>
      <c r="K68" s="10">
        <f>SUM(K3:K67)</f>
        <v>4282727900</v>
      </c>
      <c r="L68" s="10">
        <f>SUM(L3:L67)</f>
        <v>5000000000</v>
      </c>
      <c r="M68" s="10">
        <f>SUM(M3:M67)</f>
        <v>3601929957</v>
      </c>
      <c r="N68" s="10">
        <f>SUM(N3:N67)</f>
        <v>105985258300</v>
      </c>
      <c r="O68" s="11">
        <f>SUM(O3:O67)</f>
        <v>913772477137.67993</v>
      </c>
    </row>
  </sheetData>
  <mergeCells count="7">
    <mergeCell ref="O1:O2"/>
    <mergeCell ref="A1:A2"/>
    <mergeCell ref="B1:F1"/>
    <mergeCell ref="G1:K1"/>
    <mergeCell ref="L1:L2"/>
    <mergeCell ref="M1:M2"/>
    <mergeCell ref="N1:N2"/>
  </mergeCells>
  <pageMargins left="0.7" right="0.7" top="0.75" bottom="0.75" header="0.3" footer="0.3"/>
  <ignoredErrors>
    <ignoredError sqref="A3:O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opLeftCell="A54" workbookViewId="0">
      <selection activeCell="A68" sqref="A68"/>
    </sheetView>
  </sheetViews>
  <sheetFormatPr defaultRowHeight="15.6"/>
  <cols>
    <col min="1" max="1" width="61.21875" style="6" bestFit="1" customWidth="1"/>
    <col min="2" max="3" width="20.33203125" style="6" bestFit="1" customWidth="1"/>
    <col min="4" max="5" width="19.21875" style="6" bestFit="1" customWidth="1"/>
    <col min="6" max="7" width="16.33203125" style="6" bestFit="1" customWidth="1"/>
    <col min="8" max="8" width="18.109375" style="6" bestFit="1" customWidth="1"/>
    <col min="9" max="9" width="19.21875" style="6" bestFit="1" customWidth="1"/>
    <col min="10" max="10" width="18.109375" style="6" bestFit="1" customWidth="1"/>
    <col min="11" max="11" width="15.21875" style="6" bestFit="1" customWidth="1"/>
    <col min="12" max="12" width="22" style="6" bestFit="1" customWidth="1"/>
    <col min="13" max="13" width="18.109375" style="6" bestFit="1" customWidth="1"/>
    <col min="14" max="14" width="26.5546875" style="6" bestFit="1" customWidth="1"/>
    <col min="15" max="15" width="20.33203125" style="6" bestFit="1" customWidth="1"/>
    <col min="16" max="16384" width="8.88671875" style="6"/>
  </cols>
  <sheetData>
    <row r="1" spans="1:15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 t="s">
        <v>4</v>
      </c>
      <c r="N1" s="3" t="s">
        <v>5</v>
      </c>
      <c r="O1" s="3" t="s">
        <v>6</v>
      </c>
    </row>
    <row r="2" spans="1:15" ht="62.4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3"/>
      <c r="M2" s="3"/>
      <c r="N2" s="3"/>
      <c r="O2" s="3"/>
    </row>
    <row r="3" spans="1:15">
      <c r="A3" s="7" t="s">
        <v>17</v>
      </c>
      <c r="B3" s="8">
        <v>136656271955</v>
      </c>
      <c r="C3" s="8">
        <v>3513451900</v>
      </c>
      <c r="D3" s="8"/>
      <c r="E3" s="8">
        <v>830000000</v>
      </c>
      <c r="F3" s="8"/>
      <c r="G3" s="8"/>
      <c r="H3" s="8">
        <v>543627600</v>
      </c>
      <c r="I3" s="8">
        <v>6850000500</v>
      </c>
      <c r="J3" s="8"/>
      <c r="K3" s="8">
        <v>11526500</v>
      </c>
      <c r="L3" s="8"/>
      <c r="M3" s="8"/>
      <c r="N3" s="8"/>
      <c r="O3" s="9">
        <v>148404878455</v>
      </c>
    </row>
    <row r="4" spans="1:15">
      <c r="A4" s="7" t="s">
        <v>18</v>
      </c>
      <c r="B4" s="8"/>
      <c r="C4" s="8">
        <v>56329600</v>
      </c>
      <c r="D4" s="8"/>
      <c r="E4" s="8"/>
      <c r="F4" s="8"/>
      <c r="G4" s="8"/>
      <c r="H4" s="8">
        <v>35982800</v>
      </c>
      <c r="I4" s="8"/>
      <c r="J4" s="8"/>
      <c r="K4" s="8"/>
      <c r="L4" s="8"/>
      <c r="M4" s="8"/>
      <c r="N4" s="8"/>
      <c r="O4" s="9">
        <v>92312400</v>
      </c>
    </row>
    <row r="5" spans="1:15">
      <c r="A5" s="7" t="s">
        <v>19</v>
      </c>
      <c r="B5" s="8">
        <v>50261807347</v>
      </c>
      <c r="C5" s="8">
        <v>10957797847</v>
      </c>
      <c r="D5" s="8"/>
      <c r="E5" s="8">
        <v>150000000</v>
      </c>
      <c r="F5" s="8">
        <v>331500000</v>
      </c>
      <c r="G5" s="8"/>
      <c r="H5" s="8"/>
      <c r="I5" s="8">
        <v>4883363637</v>
      </c>
      <c r="J5" s="8"/>
      <c r="K5" s="8"/>
      <c r="L5" s="8"/>
      <c r="M5" s="8"/>
      <c r="N5" s="8"/>
      <c r="O5" s="9">
        <v>66584468831</v>
      </c>
    </row>
    <row r="6" spans="1:15">
      <c r="A6" s="7" t="s">
        <v>20</v>
      </c>
      <c r="B6" s="8"/>
      <c r="C6" s="8">
        <v>1758660086</v>
      </c>
      <c r="D6" s="8"/>
      <c r="E6" s="8"/>
      <c r="F6" s="8"/>
      <c r="G6" s="8"/>
      <c r="H6" s="8">
        <v>81672800</v>
      </c>
      <c r="I6" s="8"/>
      <c r="J6" s="8"/>
      <c r="K6" s="8"/>
      <c r="L6" s="8"/>
      <c r="M6" s="8"/>
      <c r="N6" s="8"/>
      <c r="O6" s="9">
        <v>1840332886</v>
      </c>
    </row>
    <row r="7" spans="1:15">
      <c r="A7" s="7" t="s">
        <v>21</v>
      </c>
      <c r="B7" s="8"/>
      <c r="C7" s="8">
        <v>561936985</v>
      </c>
      <c r="D7" s="8"/>
      <c r="E7" s="8"/>
      <c r="F7" s="8"/>
      <c r="G7" s="8"/>
      <c r="H7" s="8">
        <v>64692500</v>
      </c>
      <c r="I7" s="8"/>
      <c r="J7" s="8"/>
      <c r="K7" s="8"/>
      <c r="L7" s="8"/>
      <c r="M7" s="8"/>
      <c r="N7" s="8"/>
      <c r="O7" s="9">
        <v>626629485</v>
      </c>
    </row>
    <row r="8" spans="1:15">
      <c r="A8" s="7" t="s">
        <v>22</v>
      </c>
      <c r="B8" s="8"/>
      <c r="C8" s="8">
        <v>722311816</v>
      </c>
      <c r="D8" s="8"/>
      <c r="E8" s="8"/>
      <c r="F8" s="8"/>
      <c r="G8" s="8"/>
      <c r="H8" s="8">
        <v>74585800</v>
      </c>
      <c r="I8" s="8"/>
      <c r="J8" s="8"/>
      <c r="K8" s="8"/>
      <c r="L8" s="8"/>
      <c r="M8" s="8"/>
      <c r="N8" s="8"/>
      <c r="O8" s="9">
        <v>796897616</v>
      </c>
    </row>
    <row r="9" spans="1:15">
      <c r="A9" s="7" t="s">
        <v>23</v>
      </c>
      <c r="B9" s="8"/>
      <c r="C9" s="8">
        <v>655874503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v>655874503</v>
      </c>
    </row>
    <row r="10" spans="1:15">
      <c r="A10" s="7" t="s">
        <v>24</v>
      </c>
      <c r="B10" s="8"/>
      <c r="C10" s="8">
        <v>884284382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v>884284382</v>
      </c>
    </row>
    <row r="11" spans="1:15">
      <c r="A11" s="7" t="s">
        <v>25</v>
      </c>
      <c r="B11" s="8"/>
      <c r="C11" s="8">
        <v>289785379</v>
      </c>
      <c r="D11" s="8"/>
      <c r="E11" s="8"/>
      <c r="F11" s="8"/>
      <c r="G11" s="8"/>
      <c r="H11" s="8">
        <v>13232300</v>
      </c>
      <c r="I11" s="8"/>
      <c r="J11" s="8"/>
      <c r="K11" s="8"/>
      <c r="L11" s="8"/>
      <c r="M11" s="8"/>
      <c r="N11" s="8"/>
      <c r="O11" s="9">
        <v>303017679</v>
      </c>
    </row>
    <row r="12" spans="1:15">
      <c r="A12" s="7" t="s">
        <v>26</v>
      </c>
      <c r="B12" s="8"/>
      <c r="C12" s="8">
        <v>694587511</v>
      </c>
      <c r="D12" s="8"/>
      <c r="E12" s="8"/>
      <c r="F12" s="8"/>
      <c r="G12" s="8"/>
      <c r="H12" s="8">
        <v>12280200</v>
      </c>
      <c r="I12" s="8"/>
      <c r="J12" s="8"/>
      <c r="K12" s="8"/>
      <c r="L12" s="8"/>
      <c r="M12" s="8"/>
      <c r="N12" s="8"/>
      <c r="O12" s="9">
        <v>706867711</v>
      </c>
    </row>
    <row r="13" spans="1:15">
      <c r="A13" s="7" t="s">
        <v>27</v>
      </c>
      <c r="B13" s="8"/>
      <c r="C13" s="8">
        <v>351316687</v>
      </c>
      <c r="D13" s="8"/>
      <c r="E13" s="8"/>
      <c r="F13" s="8"/>
      <c r="G13" s="8"/>
      <c r="H13" s="8">
        <v>640300</v>
      </c>
      <c r="I13" s="8"/>
      <c r="J13" s="8"/>
      <c r="K13" s="8"/>
      <c r="L13" s="8"/>
      <c r="M13" s="8"/>
      <c r="N13" s="8"/>
      <c r="O13" s="9">
        <v>351956987</v>
      </c>
    </row>
    <row r="14" spans="1:15">
      <c r="A14" s="7" t="s">
        <v>28</v>
      </c>
      <c r="B14" s="8"/>
      <c r="C14" s="8">
        <v>958102752</v>
      </c>
      <c r="D14" s="8"/>
      <c r="E14" s="8"/>
      <c r="F14" s="8"/>
      <c r="G14" s="8"/>
      <c r="H14" s="8">
        <v>3841600</v>
      </c>
      <c r="I14" s="8"/>
      <c r="J14" s="8"/>
      <c r="K14" s="8"/>
      <c r="L14" s="8"/>
      <c r="M14" s="8"/>
      <c r="N14" s="8"/>
      <c r="O14" s="9">
        <v>961944352</v>
      </c>
    </row>
    <row r="15" spans="1:15">
      <c r="A15" s="7" t="s">
        <v>29</v>
      </c>
      <c r="B15" s="8"/>
      <c r="C15" s="8">
        <v>805138676</v>
      </c>
      <c r="D15" s="8"/>
      <c r="E15" s="8"/>
      <c r="F15" s="8"/>
      <c r="G15" s="8"/>
      <c r="H15" s="8">
        <v>40008500</v>
      </c>
      <c r="I15" s="8"/>
      <c r="J15" s="8"/>
      <c r="K15" s="8"/>
      <c r="L15" s="8"/>
      <c r="M15" s="8"/>
      <c r="N15" s="8"/>
      <c r="O15" s="9">
        <v>845147176</v>
      </c>
    </row>
    <row r="16" spans="1:15">
      <c r="A16" s="7" t="s">
        <v>30</v>
      </c>
      <c r="B16" s="8"/>
      <c r="C16" s="8">
        <v>711137005</v>
      </c>
      <c r="D16" s="8"/>
      <c r="E16" s="8"/>
      <c r="F16" s="8"/>
      <c r="G16" s="8"/>
      <c r="H16" s="8">
        <v>42049800</v>
      </c>
      <c r="I16" s="8"/>
      <c r="J16" s="8"/>
      <c r="K16" s="8"/>
      <c r="L16" s="8"/>
      <c r="M16" s="8"/>
      <c r="N16" s="8"/>
      <c r="O16" s="9">
        <v>753186805</v>
      </c>
    </row>
    <row r="17" spans="1:15">
      <c r="A17" s="7" t="s">
        <v>31</v>
      </c>
      <c r="B17" s="8"/>
      <c r="C17" s="8">
        <v>54460826</v>
      </c>
      <c r="D17" s="8"/>
      <c r="E17" s="8"/>
      <c r="F17" s="8"/>
      <c r="G17" s="8"/>
      <c r="H17" s="8">
        <v>2932400</v>
      </c>
      <c r="I17" s="8"/>
      <c r="J17" s="8"/>
      <c r="K17" s="8"/>
      <c r="L17" s="8"/>
      <c r="M17" s="8"/>
      <c r="N17" s="8"/>
      <c r="O17" s="9">
        <v>57393226</v>
      </c>
    </row>
    <row r="18" spans="1:15">
      <c r="A18" s="7" t="s">
        <v>32</v>
      </c>
      <c r="B18" s="8"/>
      <c r="C18" s="8">
        <v>75726702</v>
      </c>
      <c r="D18" s="8"/>
      <c r="E18" s="8"/>
      <c r="F18" s="8"/>
      <c r="G18" s="8"/>
      <c r="H18" s="8">
        <v>41000</v>
      </c>
      <c r="I18" s="8"/>
      <c r="J18" s="8"/>
      <c r="K18" s="8"/>
      <c r="L18" s="8"/>
      <c r="M18" s="8"/>
      <c r="N18" s="8"/>
      <c r="O18" s="9">
        <v>75767702</v>
      </c>
    </row>
    <row r="19" spans="1:15">
      <c r="A19" s="7" t="s">
        <v>33</v>
      </c>
      <c r="B19" s="8">
        <v>15833047586</v>
      </c>
      <c r="C19" s="8">
        <v>19736721181</v>
      </c>
      <c r="D19" s="8"/>
      <c r="E19" s="8"/>
      <c r="F19" s="8"/>
      <c r="G19" s="8"/>
      <c r="H19" s="8">
        <v>271045200</v>
      </c>
      <c r="I19" s="8">
        <v>21471975211</v>
      </c>
      <c r="J19" s="8"/>
      <c r="K19" s="8"/>
      <c r="L19" s="8"/>
      <c r="M19" s="8"/>
      <c r="N19" s="8"/>
      <c r="O19" s="9">
        <v>57312789178</v>
      </c>
    </row>
    <row r="20" spans="1:15">
      <c r="A20" s="7" t="s">
        <v>34</v>
      </c>
      <c r="B20" s="8">
        <v>8112462236</v>
      </c>
      <c r="C20" s="8">
        <v>1464757000</v>
      </c>
      <c r="D20" s="8"/>
      <c r="E20" s="8"/>
      <c r="F20" s="8"/>
      <c r="G20" s="8"/>
      <c r="H20" s="8">
        <v>57000000</v>
      </c>
      <c r="I20" s="8">
        <v>100000000</v>
      </c>
      <c r="J20" s="8">
        <v>1756448812</v>
      </c>
      <c r="K20" s="8"/>
      <c r="L20" s="8"/>
      <c r="M20" s="8"/>
      <c r="N20" s="8"/>
      <c r="O20" s="9">
        <v>11490668048</v>
      </c>
    </row>
    <row r="21" spans="1:15">
      <c r="A21" s="7" t="s">
        <v>35</v>
      </c>
      <c r="B21" s="8">
        <v>2542213988</v>
      </c>
      <c r="C21" s="8">
        <v>1899778745</v>
      </c>
      <c r="D21" s="8"/>
      <c r="E21" s="8"/>
      <c r="F21" s="8">
        <v>0</v>
      </c>
      <c r="G21" s="8">
        <v>230000000</v>
      </c>
      <c r="H21" s="8">
        <v>12805600</v>
      </c>
      <c r="I21" s="8">
        <v>0</v>
      </c>
      <c r="J21" s="8">
        <v>1699425000</v>
      </c>
      <c r="K21" s="8"/>
      <c r="L21" s="8"/>
      <c r="M21" s="8"/>
      <c r="N21" s="8"/>
      <c r="O21" s="9">
        <v>6384223333</v>
      </c>
    </row>
    <row r="22" spans="1:15">
      <c r="A22" s="7" t="s">
        <v>36</v>
      </c>
      <c r="B22" s="8">
        <v>6133318698</v>
      </c>
      <c r="C22" s="8">
        <v>530625000</v>
      </c>
      <c r="D22" s="8"/>
      <c r="E22" s="8"/>
      <c r="F22" s="8"/>
      <c r="G22" s="8"/>
      <c r="H22" s="8">
        <v>1100000000</v>
      </c>
      <c r="I22" s="8"/>
      <c r="J22" s="8"/>
      <c r="K22" s="8"/>
      <c r="L22" s="8"/>
      <c r="M22" s="8"/>
      <c r="N22" s="8"/>
      <c r="O22" s="9">
        <v>7763943698</v>
      </c>
    </row>
    <row r="23" spans="1:15">
      <c r="A23" s="7" t="s">
        <v>37</v>
      </c>
      <c r="B23" s="8">
        <v>1816277391</v>
      </c>
      <c r="C23" s="8">
        <v>330833339</v>
      </c>
      <c r="D23" s="8"/>
      <c r="E23" s="8"/>
      <c r="F23" s="8"/>
      <c r="G23" s="8"/>
      <c r="H23" s="8">
        <v>49172200</v>
      </c>
      <c r="I23" s="8"/>
      <c r="J23" s="8"/>
      <c r="K23" s="8"/>
      <c r="L23" s="8"/>
      <c r="M23" s="8"/>
      <c r="N23" s="8"/>
      <c r="O23" s="9">
        <v>2196282930</v>
      </c>
    </row>
    <row r="24" spans="1:15">
      <c r="A24" s="7" t="s">
        <v>38</v>
      </c>
      <c r="B24" s="8">
        <v>2435963169</v>
      </c>
      <c r="C24" s="8">
        <v>573932100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>
        <v>3009895269</v>
      </c>
    </row>
    <row r="25" spans="1:15">
      <c r="A25" s="7" t="s">
        <v>39</v>
      </c>
      <c r="B25" s="8">
        <v>2672519135</v>
      </c>
      <c r="C25" s="8">
        <v>404543050</v>
      </c>
      <c r="D25" s="8"/>
      <c r="E25" s="8"/>
      <c r="F25" s="8"/>
      <c r="G25" s="8"/>
      <c r="H25" s="8">
        <v>3073400</v>
      </c>
      <c r="I25" s="8"/>
      <c r="J25" s="8"/>
      <c r="K25" s="8"/>
      <c r="L25" s="8"/>
      <c r="M25" s="8"/>
      <c r="N25" s="8"/>
      <c r="O25" s="9">
        <v>3080135585</v>
      </c>
    </row>
    <row r="26" spans="1:15">
      <c r="A26" s="7" t="s">
        <v>40</v>
      </c>
      <c r="B26" s="8">
        <v>1196281488</v>
      </c>
      <c r="C26" s="8">
        <v>365293950</v>
      </c>
      <c r="D26" s="8"/>
      <c r="E26" s="8">
        <v>750000000</v>
      </c>
      <c r="F26" s="8"/>
      <c r="G26" s="8"/>
      <c r="H26" s="8"/>
      <c r="I26" s="8"/>
      <c r="J26" s="8"/>
      <c r="K26" s="8"/>
      <c r="L26" s="8"/>
      <c r="M26" s="8"/>
      <c r="N26" s="8"/>
      <c r="O26" s="9">
        <v>2311575438</v>
      </c>
    </row>
    <row r="27" spans="1:15">
      <c r="A27" s="7" t="s">
        <v>41</v>
      </c>
      <c r="B27" s="8">
        <v>1569749364</v>
      </c>
      <c r="C27" s="8">
        <v>634544020</v>
      </c>
      <c r="D27" s="8"/>
      <c r="E27" s="8"/>
      <c r="F27" s="8"/>
      <c r="G27" s="8"/>
      <c r="H27" s="8">
        <v>55551800</v>
      </c>
      <c r="I27" s="8"/>
      <c r="J27" s="8"/>
      <c r="K27" s="8"/>
      <c r="L27" s="8"/>
      <c r="M27" s="8"/>
      <c r="N27" s="8"/>
      <c r="O27" s="9">
        <v>2259845184</v>
      </c>
    </row>
    <row r="28" spans="1:15">
      <c r="A28" s="7" t="s">
        <v>42</v>
      </c>
      <c r="B28" s="8">
        <v>2456547412</v>
      </c>
      <c r="C28" s="8">
        <v>2453622300</v>
      </c>
      <c r="D28" s="8"/>
      <c r="E28" s="8"/>
      <c r="F28" s="8"/>
      <c r="G28" s="8"/>
      <c r="H28" s="8">
        <v>31800000</v>
      </c>
      <c r="I28" s="8"/>
      <c r="J28" s="8"/>
      <c r="K28" s="8"/>
      <c r="L28" s="8"/>
      <c r="M28" s="8"/>
      <c r="N28" s="8"/>
      <c r="O28" s="9">
        <v>4941969712</v>
      </c>
    </row>
    <row r="29" spans="1:15">
      <c r="A29" s="7" t="s">
        <v>43</v>
      </c>
      <c r="B29" s="8">
        <v>1841850791</v>
      </c>
      <c r="C29" s="8">
        <v>480769687</v>
      </c>
      <c r="D29" s="8"/>
      <c r="E29" s="8"/>
      <c r="F29" s="8"/>
      <c r="G29" s="8"/>
      <c r="H29" s="8">
        <v>79123000</v>
      </c>
      <c r="I29" s="8"/>
      <c r="J29" s="8"/>
      <c r="K29" s="8"/>
      <c r="L29" s="8"/>
      <c r="M29" s="8"/>
      <c r="N29" s="8"/>
      <c r="O29" s="9">
        <v>2401743478</v>
      </c>
    </row>
    <row r="30" spans="1:15">
      <c r="A30" s="7" t="s">
        <v>44</v>
      </c>
      <c r="B30" s="8">
        <v>3071360349</v>
      </c>
      <c r="C30" s="8">
        <v>3212822495</v>
      </c>
      <c r="D30" s="8"/>
      <c r="E30" s="8"/>
      <c r="F30" s="8"/>
      <c r="G30" s="8"/>
      <c r="H30" s="8">
        <v>69474700</v>
      </c>
      <c r="I30" s="8"/>
      <c r="J30" s="8"/>
      <c r="K30" s="8"/>
      <c r="L30" s="8"/>
      <c r="M30" s="8"/>
      <c r="N30" s="8"/>
      <c r="O30" s="9">
        <v>6353657544</v>
      </c>
    </row>
    <row r="31" spans="1:15">
      <c r="A31" s="7" t="s">
        <v>45</v>
      </c>
      <c r="B31" s="8">
        <v>847887722</v>
      </c>
      <c r="C31" s="8">
        <v>361832900</v>
      </c>
      <c r="D31" s="8"/>
      <c r="E31" s="8"/>
      <c r="F31" s="8"/>
      <c r="G31" s="8"/>
      <c r="H31" s="8">
        <v>43448200</v>
      </c>
      <c r="I31" s="8"/>
      <c r="J31" s="8"/>
      <c r="K31" s="8"/>
      <c r="L31" s="8"/>
      <c r="M31" s="8"/>
      <c r="N31" s="8"/>
      <c r="O31" s="9">
        <v>1253168822</v>
      </c>
    </row>
    <row r="32" spans="1:15">
      <c r="A32" s="7" t="s">
        <v>46</v>
      </c>
      <c r="B32" s="8">
        <v>2839963511</v>
      </c>
      <c r="C32" s="8">
        <v>406152940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>
        <v>3246116451</v>
      </c>
    </row>
    <row r="33" spans="1:15">
      <c r="A33" s="7" t="s">
        <v>47</v>
      </c>
      <c r="B33" s="8">
        <v>1483302474</v>
      </c>
      <c r="C33" s="8">
        <v>522871194.98000002</v>
      </c>
      <c r="D33" s="8"/>
      <c r="E33" s="8">
        <v>85000000</v>
      </c>
      <c r="F33" s="8"/>
      <c r="G33" s="8"/>
      <c r="H33" s="8">
        <v>40000000</v>
      </c>
      <c r="I33" s="8"/>
      <c r="J33" s="8"/>
      <c r="K33" s="8"/>
      <c r="L33" s="8"/>
      <c r="M33" s="8"/>
      <c r="N33" s="8"/>
      <c r="O33" s="9">
        <v>2131173668.98</v>
      </c>
    </row>
    <row r="34" spans="1:15">
      <c r="A34" s="7" t="s">
        <v>48</v>
      </c>
      <c r="B34" s="8">
        <v>2114166243</v>
      </c>
      <c r="C34" s="8">
        <v>415690100</v>
      </c>
      <c r="D34" s="8"/>
      <c r="E34" s="8">
        <v>793000000</v>
      </c>
      <c r="F34" s="8"/>
      <c r="G34" s="8"/>
      <c r="H34" s="8">
        <v>35394900</v>
      </c>
      <c r="I34" s="8"/>
      <c r="J34" s="8"/>
      <c r="K34" s="8"/>
      <c r="L34" s="8"/>
      <c r="M34" s="8"/>
      <c r="N34" s="8"/>
      <c r="O34" s="9">
        <v>3358251243</v>
      </c>
    </row>
    <row r="35" spans="1:15">
      <c r="A35" s="7" t="s">
        <v>49</v>
      </c>
      <c r="B35" s="8">
        <v>1450481193</v>
      </c>
      <c r="C35" s="8">
        <v>409711100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>
        <v>1860192293</v>
      </c>
    </row>
    <row r="36" spans="1:15">
      <c r="A36" s="7" t="s">
        <v>50</v>
      </c>
      <c r="B36" s="8">
        <v>1180271670</v>
      </c>
      <c r="C36" s="8">
        <v>1174217200</v>
      </c>
      <c r="D36" s="8"/>
      <c r="E36" s="8">
        <v>2225000000</v>
      </c>
      <c r="F36" s="8"/>
      <c r="G36" s="8"/>
      <c r="H36" s="8">
        <v>179360800</v>
      </c>
      <c r="I36" s="8"/>
      <c r="J36" s="8"/>
      <c r="K36" s="8"/>
      <c r="L36" s="8"/>
      <c r="M36" s="8"/>
      <c r="N36" s="8"/>
      <c r="O36" s="9">
        <v>4758849670</v>
      </c>
    </row>
    <row r="37" spans="1:15">
      <c r="A37" s="7" t="s">
        <v>51</v>
      </c>
      <c r="B37" s="8">
        <v>1814135575</v>
      </c>
      <c r="C37" s="8">
        <v>419109000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>
        <v>2233244575</v>
      </c>
    </row>
    <row r="38" spans="1:15">
      <c r="A38" s="7" t="s">
        <v>52</v>
      </c>
      <c r="B38" s="8">
        <v>3491069765</v>
      </c>
      <c r="C38" s="8">
        <v>478714280</v>
      </c>
      <c r="D38" s="8"/>
      <c r="E38" s="8"/>
      <c r="F38" s="8"/>
      <c r="G38" s="8"/>
      <c r="H38" s="8">
        <v>15635300</v>
      </c>
      <c r="I38" s="8"/>
      <c r="J38" s="8"/>
      <c r="K38" s="8"/>
      <c r="L38" s="8"/>
      <c r="M38" s="8"/>
      <c r="N38" s="8"/>
      <c r="O38" s="9">
        <v>3985419345</v>
      </c>
    </row>
    <row r="39" spans="1:15">
      <c r="A39" s="7" t="s">
        <v>53</v>
      </c>
      <c r="B39" s="8">
        <v>1509559889</v>
      </c>
      <c r="C39" s="8">
        <v>503801400</v>
      </c>
      <c r="D39" s="8"/>
      <c r="E39" s="8"/>
      <c r="F39" s="8"/>
      <c r="G39" s="8"/>
      <c r="H39" s="8">
        <v>241372000</v>
      </c>
      <c r="I39" s="8"/>
      <c r="J39" s="8"/>
      <c r="K39" s="8"/>
      <c r="L39" s="8"/>
      <c r="M39" s="8"/>
      <c r="N39" s="8"/>
      <c r="O39" s="9">
        <v>2254733289</v>
      </c>
    </row>
    <row r="40" spans="1:15">
      <c r="A40" s="7" t="s">
        <v>54</v>
      </c>
      <c r="B40" s="8">
        <v>9636840203</v>
      </c>
      <c r="C40" s="8">
        <v>1017874700</v>
      </c>
      <c r="D40" s="8"/>
      <c r="E40" s="8"/>
      <c r="F40" s="8"/>
      <c r="G40" s="8"/>
      <c r="H40" s="8">
        <v>23453100</v>
      </c>
      <c r="I40" s="8"/>
      <c r="J40" s="8"/>
      <c r="K40" s="8"/>
      <c r="L40" s="8"/>
      <c r="M40" s="8"/>
      <c r="N40" s="8"/>
      <c r="O40" s="9">
        <v>10678168003</v>
      </c>
    </row>
    <row r="41" spans="1:15">
      <c r="A41" s="7" t="s">
        <v>55</v>
      </c>
      <c r="B41" s="8">
        <v>3130033321</v>
      </c>
      <c r="C41" s="8">
        <v>967352000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>
        <v>4097385321</v>
      </c>
    </row>
    <row r="42" spans="1:15">
      <c r="A42" s="7" t="s">
        <v>56</v>
      </c>
      <c r="B42" s="8"/>
      <c r="C42" s="8">
        <v>300000000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>
        <v>300000000</v>
      </c>
    </row>
    <row r="43" spans="1:15">
      <c r="A43" s="7" t="s">
        <v>57</v>
      </c>
      <c r="B43" s="8"/>
      <c r="C43" s="8">
        <v>474999200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>
        <v>474999200</v>
      </c>
    </row>
    <row r="44" spans="1:15">
      <c r="A44" s="7" t="s">
        <v>58</v>
      </c>
      <c r="B44" s="8"/>
      <c r="C44" s="8">
        <v>9692918050</v>
      </c>
      <c r="D44" s="8"/>
      <c r="E44" s="8">
        <v>650000000</v>
      </c>
      <c r="F44" s="8"/>
      <c r="G44" s="8"/>
      <c r="H44" s="8">
        <v>5208000300</v>
      </c>
      <c r="I44" s="8">
        <v>3955712390</v>
      </c>
      <c r="J44" s="8"/>
      <c r="K44" s="8"/>
      <c r="L44" s="8"/>
      <c r="M44" s="8"/>
      <c r="N44" s="8"/>
      <c r="O44" s="9">
        <v>19506630740</v>
      </c>
    </row>
    <row r="45" spans="1:15">
      <c r="A45" s="7" t="s">
        <v>59</v>
      </c>
      <c r="B45" s="8"/>
      <c r="C45" s="8">
        <v>390000000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>
        <v>390000000</v>
      </c>
    </row>
    <row r="46" spans="1:15">
      <c r="A46" s="7" t="s">
        <v>60</v>
      </c>
      <c r="B46" s="8"/>
      <c r="C46" s="8">
        <v>149999600</v>
      </c>
      <c r="D46" s="8"/>
      <c r="E46" s="8">
        <v>3680000000</v>
      </c>
      <c r="F46" s="8">
        <v>150000000</v>
      </c>
      <c r="G46" s="8"/>
      <c r="H46" s="8"/>
      <c r="I46" s="8"/>
      <c r="J46" s="8"/>
      <c r="K46" s="8"/>
      <c r="L46" s="8"/>
      <c r="M46" s="8"/>
      <c r="N46" s="8"/>
      <c r="O46" s="9">
        <v>3979999600</v>
      </c>
    </row>
    <row r="47" spans="1:15">
      <c r="A47" s="7" t="s">
        <v>61</v>
      </c>
      <c r="B47" s="8"/>
      <c r="C47" s="8">
        <v>149996900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>
        <v>149996900</v>
      </c>
    </row>
    <row r="48" spans="1:15">
      <c r="A48" s="7" t="s">
        <v>62</v>
      </c>
      <c r="B48" s="8"/>
      <c r="C48" s="8">
        <v>574826900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>
        <v>574826900</v>
      </c>
    </row>
    <row r="49" spans="1:15">
      <c r="A49" s="7" t="s">
        <v>63</v>
      </c>
      <c r="B49" s="8"/>
      <c r="C49" s="8">
        <v>149882800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>
        <v>149882800</v>
      </c>
    </row>
    <row r="50" spans="1:15">
      <c r="A50" s="7" t="s">
        <v>64</v>
      </c>
      <c r="B50" s="8">
        <v>8303616431</v>
      </c>
      <c r="C50" s="8">
        <v>6400995400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>
        <v>14704611831</v>
      </c>
    </row>
    <row r="51" spans="1:15">
      <c r="A51" s="7" t="s">
        <v>65</v>
      </c>
      <c r="B51" s="8">
        <v>16307216516</v>
      </c>
      <c r="C51" s="8">
        <v>12354681900</v>
      </c>
      <c r="D51" s="8"/>
      <c r="E51" s="8"/>
      <c r="F51" s="8"/>
      <c r="G51" s="8"/>
      <c r="H51" s="8">
        <v>317090400</v>
      </c>
      <c r="I51" s="8"/>
      <c r="J51" s="8"/>
      <c r="K51" s="8"/>
      <c r="L51" s="8"/>
      <c r="M51" s="8"/>
      <c r="N51" s="8"/>
      <c r="O51" s="9">
        <v>28978988816</v>
      </c>
    </row>
    <row r="52" spans="1:15">
      <c r="A52" s="7" t="s">
        <v>66</v>
      </c>
      <c r="B52" s="8">
        <v>3671404804</v>
      </c>
      <c r="C52" s="8">
        <v>1816054180</v>
      </c>
      <c r="D52" s="8"/>
      <c r="E52" s="8"/>
      <c r="F52" s="8"/>
      <c r="G52" s="8"/>
      <c r="H52" s="8">
        <v>150187600</v>
      </c>
      <c r="I52" s="8"/>
      <c r="J52" s="8"/>
      <c r="K52" s="8"/>
      <c r="L52" s="8"/>
      <c r="M52" s="8"/>
      <c r="N52" s="8"/>
      <c r="O52" s="9">
        <v>5637646584</v>
      </c>
    </row>
    <row r="53" spans="1:15">
      <c r="A53" s="7" t="s">
        <v>67</v>
      </c>
      <c r="B53" s="8">
        <v>4969476859.6999998</v>
      </c>
      <c r="C53" s="8">
        <v>3617258800</v>
      </c>
      <c r="D53" s="8">
        <v>10500000000</v>
      </c>
      <c r="E53" s="8"/>
      <c r="F53" s="8"/>
      <c r="G53" s="8"/>
      <c r="H53" s="8">
        <v>62380000</v>
      </c>
      <c r="I53" s="8"/>
      <c r="J53" s="8"/>
      <c r="K53" s="8"/>
      <c r="L53" s="8">
        <v>5000000000</v>
      </c>
      <c r="M53" s="8">
        <v>3601929957</v>
      </c>
      <c r="N53" s="8">
        <v>105985258300</v>
      </c>
      <c r="O53" s="9">
        <v>133736303916.7</v>
      </c>
    </row>
    <row r="54" spans="1:15">
      <c r="A54" s="7" t="s">
        <v>68</v>
      </c>
      <c r="B54" s="8">
        <v>3090084187</v>
      </c>
      <c r="C54" s="8">
        <v>978275700</v>
      </c>
      <c r="D54" s="8"/>
      <c r="E54" s="8"/>
      <c r="F54" s="8"/>
      <c r="G54" s="8"/>
      <c r="H54" s="8">
        <v>45147000</v>
      </c>
      <c r="I54" s="8"/>
      <c r="J54" s="8"/>
      <c r="K54" s="8"/>
      <c r="L54" s="8"/>
      <c r="M54" s="8"/>
      <c r="N54" s="8"/>
      <c r="O54" s="9">
        <v>4113506887</v>
      </c>
    </row>
    <row r="55" spans="1:15">
      <c r="A55" s="7" t="s">
        <v>69</v>
      </c>
      <c r="B55" s="8">
        <v>4023920224</v>
      </c>
      <c r="C55" s="8">
        <v>1551095310</v>
      </c>
      <c r="D55" s="8"/>
      <c r="E55" s="8"/>
      <c r="F55" s="8"/>
      <c r="G55" s="8"/>
      <c r="H55" s="8">
        <v>41386500</v>
      </c>
      <c r="I55" s="8"/>
      <c r="J55" s="8"/>
      <c r="K55" s="8"/>
      <c r="L55" s="8"/>
      <c r="M55" s="8"/>
      <c r="N55" s="8"/>
      <c r="O55" s="9">
        <v>5616402034</v>
      </c>
    </row>
    <row r="56" spans="1:15">
      <c r="A56" s="7" t="s">
        <v>70</v>
      </c>
      <c r="B56" s="8">
        <v>3442413425</v>
      </c>
      <c r="C56" s="8">
        <v>714273720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>
        <v>4156687145</v>
      </c>
    </row>
    <row r="57" spans="1:15">
      <c r="A57" s="7" t="s">
        <v>71</v>
      </c>
      <c r="B57" s="8">
        <v>1588318256</v>
      </c>
      <c r="C57" s="8">
        <v>206553700</v>
      </c>
      <c r="D57" s="8"/>
      <c r="E57" s="8"/>
      <c r="F57" s="8"/>
      <c r="G57" s="8"/>
      <c r="H57" s="8">
        <v>7939400</v>
      </c>
      <c r="I57" s="8"/>
      <c r="J57" s="8"/>
      <c r="K57" s="8"/>
      <c r="L57" s="8"/>
      <c r="M57" s="8"/>
      <c r="N57" s="8"/>
      <c r="O57" s="9">
        <v>1802811356</v>
      </c>
    </row>
    <row r="58" spans="1:15">
      <c r="A58" s="7" t="s">
        <v>72</v>
      </c>
      <c r="B58" s="8">
        <v>1669402348</v>
      </c>
      <c r="C58" s="8">
        <v>185363800</v>
      </c>
      <c r="D58" s="8"/>
      <c r="E58" s="8"/>
      <c r="F58" s="8"/>
      <c r="G58" s="8"/>
      <c r="H58" s="8">
        <v>68597200</v>
      </c>
      <c r="I58" s="8"/>
      <c r="J58" s="8"/>
      <c r="K58" s="8"/>
      <c r="L58" s="8"/>
      <c r="M58" s="8"/>
      <c r="N58" s="8"/>
      <c r="O58" s="9">
        <v>1923363348</v>
      </c>
    </row>
    <row r="59" spans="1:15">
      <c r="A59" s="7" t="s">
        <v>73</v>
      </c>
      <c r="B59" s="8">
        <v>984639263</v>
      </c>
      <c r="C59" s="8">
        <v>138115000</v>
      </c>
      <c r="D59" s="8"/>
      <c r="E59" s="8"/>
      <c r="F59" s="8"/>
      <c r="G59" s="8"/>
      <c r="H59" s="8">
        <v>65915500</v>
      </c>
      <c r="I59" s="8"/>
      <c r="J59" s="8"/>
      <c r="K59" s="8"/>
      <c r="L59" s="8"/>
      <c r="M59" s="8"/>
      <c r="N59" s="8"/>
      <c r="O59" s="9">
        <v>1188669763</v>
      </c>
    </row>
    <row r="60" spans="1:15">
      <c r="A60" s="7" t="s">
        <v>74</v>
      </c>
      <c r="B60" s="8">
        <v>1774377971</v>
      </c>
      <c r="C60" s="8">
        <v>173548500</v>
      </c>
      <c r="D60" s="8"/>
      <c r="E60" s="8"/>
      <c r="F60" s="8"/>
      <c r="G60" s="8"/>
      <c r="H60" s="8">
        <v>36953500</v>
      </c>
      <c r="I60" s="8"/>
      <c r="J60" s="8"/>
      <c r="K60" s="8"/>
      <c r="L60" s="8"/>
      <c r="M60" s="8"/>
      <c r="N60" s="8"/>
      <c r="O60" s="9">
        <v>1984879971</v>
      </c>
    </row>
    <row r="61" spans="1:15">
      <c r="A61" s="7" t="s">
        <v>75</v>
      </c>
      <c r="B61" s="8">
        <v>1358251431</v>
      </c>
      <c r="C61" s="8">
        <v>144494778</v>
      </c>
      <c r="D61" s="8"/>
      <c r="E61" s="8"/>
      <c r="F61" s="8"/>
      <c r="G61" s="8"/>
      <c r="H61" s="8">
        <v>62991600</v>
      </c>
      <c r="I61" s="8"/>
      <c r="J61" s="8"/>
      <c r="K61" s="8"/>
      <c r="L61" s="8"/>
      <c r="M61" s="8"/>
      <c r="N61" s="8"/>
      <c r="O61" s="9">
        <v>1565737809</v>
      </c>
    </row>
    <row r="62" spans="1:15">
      <c r="A62" s="7" t="s">
        <v>76</v>
      </c>
      <c r="B62" s="8">
        <v>841563015</v>
      </c>
      <c r="C62" s="8">
        <v>155379000</v>
      </c>
      <c r="D62" s="8"/>
      <c r="E62" s="8"/>
      <c r="F62" s="8"/>
      <c r="G62" s="8"/>
      <c r="H62" s="8">
        <v>50688200</v>
      </c>
      <c r="I62" s="8"/>
      <c r="J62" s="8"/>
      <c r="K62" s="8"/>
      <c r="L62" s="8"/>
      <c r="M62" s="8"/>
      <c r="N62" s="8"/>
      <c r="O62" s="9">
        <v>1047630215</v>
      </c>
    </row>
    <row r="63" spans="1:15">
      <c r="A63" s="7" t="s">
        <v>77</v>
      </c>
      <c r="B63" s="8">
        <v>976497499</v>
      </c>
      <c r="C63" s="8">
        <v>160175200</v>
      </c>
      <c r="D63" s="8"/>
      <c r="E63" s="8"/>
      <c r="F63" s="8"/>
      <c r="G63" s="8"/>
      <c r="H63" s="8">
        <v>49306900</v>
      </c>
      <c r="I63" s="8"/>
      <c r="J63" s="8"/>
      <c r="K63" s="8"/>
      <c r="L63" s="8"/>
      <c r="M63" s="8"/>
      <c r="N63" s="8"/>
      <c r="O63" s="9">
        <v>1185979599</v>
      </c>
    </row>
    <row r="64" spans="1:15">
      <c r="A64" s="7" t="s">
        <v>78</v>
      </c>
      <c r="B64" s="8">
        <v>1291111561</v>
      </c>
      <c r="C64" s="8">
        <v>162033900</v>
      </c>
      <c r="D64" s="8"/>
      <c r="E64" s="8"/>
      <c r="F64" s="8"/>
      <c r="G64" s="8"/>
      <c r="H64" s="8">
        <v>42771400</v>
      </c>
      <c r="I64" s="8"/>
      <c r="J64" s="8"/>
      <c r="K64" s="8"/>
      <c r="L64" s="8"/>
      <c r="M64" s="8"/>
      <c r="N64" s="8"/>
      <c r="O64" s="9">
        <v>1495916861</v>
      </c>
    </row>
    <row r="65" spans="1:15">
      <c r="A65" s="7" t="s">
        <v>79</v>
      </c>
      <c r="B65" s="8">
        <v>681032221</v>
      </c>
      <c r="C65" s="8">
        <v>116748060</v>
      </c>
      <c r="D65" s="8"/>
      <c r="E65" s="8"/>
      <c r="F65" s="8"/>
      <c r="G65" s="8"/>
      <c r="H65" s="8">
        <v>90741700</v>
      </c>
      <c r="I65" s="8"/>
      <c r="J65" s="8"/>
      <c r="K65" s="8"/>
      <c r="L65" s="8"/>
      <c r="M65" s="8"/>
      <c r="N65" s="8"/>
      <c r="O65" s="9">
        <v>888521981</v>
      </c>
    </row>
    <row r="66" spans="1:15">
      <c r="A66" s="7" t="s">
        <v>80</v>
      </c>
      <c r="B66" s="8">
        <v>754895892</v>
      </c>
      <c r="C66" s="8">
        <v>425058920</v>
      </c>
      <c r="D66" s="8"/>
      <c r="E66" s="8"/>
      <c r="F66" s="8"/>
      <c r="G66" s="8">
        <v>270000000</v>
      </c>
      <c r="H66" s="8">
        <v>159837000</v>
      </c>
      <c r="I66" s="8"/>
      <c r="J66" s="8"/>
      <c r="K66" s="8"/>
      <c r="L66" s="8"/>
      <c r="M66" s="8"/>
      <c r="N66" s="8"/>
      <c r="O66" s="9">
        <v>1609791812</v>
      </c>
    </row>
    <row r="67" spans="1:15">
      <c r="A67" s="7" t="s">
        <v>81</v>
      </c>
      <c r="B67" s="8">
        <v>1737430701</v>
      </c>
      <c r="C67" s="8">
        <v>1663339800</v>
      </c>
      <c r="D67" s="8"/>
      <c r="E67" s="8">
        <v>1164839360</v>
      </c>
      <c r="F67" s="8"/>
      <c r="G67" s="8"/>
      <c r="H67" s="8">
        <v>0</v>
      </c>
      <c r="I67" s="8"/>
      <c r="J67" s="8"/>
      <c r="K67" s="8"/>
      <c r="L67" s="8"/>
      <c r="M67" s="8"/>
      <c r="N67" s="8"/>
      <c r="O67" s="9">
        <v>4565609861</v>
      </c>
    </row>
    <row r="68" spans="1:15">
      <c r="A68" s="17" t="s">
        <v>6</v>
      </c>
      <c r="B68" s="14">
        <f>SUM(B3:B67)</f>
        <v>323563035079.70001</v>
      </c>
      <c r="C68" s="14">
        <f>SUM(C3:C67)</f>
        <v>104662541456.98001</v>
      </c>
      <c r="D68" s="14">
        <f>SUM(D3:D67)</f>
        <v>10500000000</v>
      </c>
      <c r="E68" s="14">
        <f>SUM(E3:E67)</f>
        <v>10327839360</v>
      </c>
      <c r="F68" s="14">
        <f>SUM(F3:F67)</f>
        <v>481500000</v>
      </c>
      <c r="G68" s="14">
        <f>SUM(G3:G67)</f>
        <v>500000000</v>
      </c>
      <c r="H68" s="14">
        <f>SUM(H3:H67)</f>
        <v>9683232000</v>
      </c>
      <c r="I68" s="14">
        <f>SUM(I3:I67)</f>
        <v>37261051738</v>
      </c>
      <c r="J68" s="14">
        <f>SUM(J3:J67)</f>
        <v>3455873812</v>
      </c>
      <c r="K68" s="14">
        <f>SUM(K3:K67)</f>
        <v>11526500</v>
      </c>
      <c r="L68" s="14">
        <f>SUM(L3:L67)</f>
        <v>5000000000</v>
      </c>
      <c r="M68" s="14">
        <f>SUM(M3:M67)</f>
        <v>3601929957</v>
      </c>
      <c r="N68" s="14">
        <f>SUM(N3:N67)</f>
        <v>105985258300</v>
      </c>
      <c r="O68" s="15">
        <f>SUM(O3:O67)</f>
        <v>615033788203.67993</v>
      </c>
    </row>
    <row r="73" spans="1:15">
      <c r="O73" s="12"/>
    </row>
  </sheetData>
  <mergeCells count="7">
    <mergeCell ref="O1:O2"/>
    <mergeCell ref="A1:A2"/>
    <mergeCell ref="B1:F1"/>
    <mergeCell ref="G1:K1"/>
    <mergeCell ref="L1:L2"/>
    <mergeCell ref="M1:M2"/>
    <mergeCell ref="N1:N2"/>
  </mergeCells>
  <pageMargins left="0.7" right="0.7" top="0.75" bottom="0.75" header="0.3" footer="0.3"/>
  <ignoredErrors>
    <ignoredError sqref="A3:O6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A22" sqref="A22"/>
    </sheetView>
  </sheetViews>
  <sheetFormatPr defaultRowHeight="15.6"/>
  <cols>
    <col min="1" max="1" width="53.21875" style="6" bestFit="1" customWidth="1"/>
    <col min="2" max="3" width="19.21875" style="6" bestFit="1" customWidth="1"/>
    <col min="4" max="4" width="7.88671875" style="6" bestFit="1" customWidth="1"/>
    <col min="5" max="5" width="16.33203125" style="6" bestFit="1" customWidth="1"/>
    <col min="6" max="6" width="14.109375" style="6" bestFit="1" customWidth="1"/>
    <col min="7" max="7" width="7.88671875" style="6" bestFit="1" customWidth="1"/>
    <col min="8" max="8" width="18.109375" style="6" bestFit="1" customWidth="1"/>
    <col min="9" max="9" width="12.33203125" style="6" bestFit="1" customWidth="1"/>
    <col min="10" max="11" width="18.109375" style="6" bestFit="1" customWidth="1"/>
    <col min="12" max="12" width="22" style="6" bestFit="1" customWidth="1"/>
    <col min="13" max="13" width="17.6640625" style="6" bestFit="1" customWidth="1"/>
    <col min="14" max="14" width="26.5546875" style="6" bestFit="1" customWidth="1"/>
    <col min="15" max="15" width="20.33203125" style="6" bestFit="1" customWidth="1"/>
    <col min="16" max="16384" width="8.88671875" style="6"/>
  </cols>
  <sheetData>
    <row r="1" spans="1:15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 t="s">
        <v>4</v>
      </c>
      <c r="N1" s="1" t="s">
        <v>5</v>
      </c>
      <c r="O1" s="1" t="s">
        <v>6</v>
      </c>
    </row>
    <row r="2" spans="1:15" ht="62.4">
      <c r="A2" s="1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"/>
      <c r="M2" s="1"/>
      <c r="N2" s="1"/>
      <c r="O2" s="1"/>
    </row>
    <row r="3" spans="1:15">
      <c r="A3" s="13" t="s">
        <v>17</v>
      </c>
      <c r="B3" s="10">
        <v>85070600000</v>
      </c>
      <c r="C3" s="10">
        <v>21849195600</v>
      </c>
      <c r="D3" s="10"/>
      <c r="E3" s="10"/>
      <c r="F3" s="10"/>
      <c r="G3" s="10"/>
      <c r="H3" s="10">
        <v>5776101000</v>
      </c>
      <c r="I3" s="10"/>
      <c r="J3" s="10"/>
      <c r="K3" s="10">
        <v>4271201400</v>
      </c>
      <c r="L3" s="10"/>
      <c r="M3" s="10"/>
      <c r="N3" s="10"/>
      <c r="O3" s="11">
        <v>116967098000</v>
      </c>
    </row>
    <row r="4" spans="1:15">
      <c r="A4" s="13" t="s">
        <v>18</v>
      </c>
      <c r="B4" s="10"/>
      <c r="C4" s="10"/>
      <c r="D4" s="10"/>
      <c r="E4" s="10">
        <v>503520002</v>
      </c>
      <c r="F4" s="10"/>
      <c r="G4" s="10"/>
      <c r="H4" s="10"/>
      <c r="I4" s="10"/>
      <c r="J4" s="10"/>
      <c r="K4" s="10"/>
      <c r="L4" s="10"/>
      <c r="M4" s="10"/>
      <c r="N4" s="10"/>
      <c r="O4" s="11">
        <v>503520002</v>
      </c>
    </row>
    <row r="5" spans="1:15">
      <c r="A5" s="13" t="s">
        <v>19</v>
      </c>
      <c r="B5" s="10">
        <v>3601440000</v>
      </c>
      <c r="C5" s="10">
        <v>6587808095</v>
      </c>
      <c r="D5" s="10"/>
      <c r="E5" s="10"/>
      <c r="F5" s="10"/>
      <c r="G5" s="10"/>
      <c r="H5" s="10">
        <v>100500</v>
      </c>
      <c r="I5" s="10"/>
      <c r="J5" s="10"/>
      <c r="K5" s="10"/>
      <c r="L5" s="10"/>
      <c r="M5" s="10"/>
      <c r="N5" s="10"/>
      <c r="O5" s="11">
        <v>10189348595</v>
      </c>
    </row>
    <row r="6" spans="1:15">
      <c r="A6" s="13" t="s">
        <v>20</v>
      </c>
      <c r="B6" s="10"/>
      <c r="C6" s="10">
        <v>1690802000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>
        <v>1690802000</v>
      </c>
    </row>
    <row r="7" spans="1:15">
      <c r="A7" s="13" t="s">
        <v>21</v>
      </c>
      <c r="B7" s="10"/>
      <c r="C7" s="10">
        <v>815827600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>
        <v>815827600</v>
      </c>
    </row>
    <row r="8" spans="1:15">
      <c r="A8" s="13" t="s">
        <v>22</v>
      </c>
      <c r="B8" s="10"/>
      <c r="C8" s="10">
        <v>970578000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>
        <v>970578000</v>
      </c>
    </row>
    <row r="9" spans="1:15">
      <c r="A9" s="13" t="s">
        <v>23</v>
      </c>
      <c r="B9" s="10"/>
      <c r="C9" s="10">
        <v>970097000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>
        <v>970097000</v>
      </c>
    </row>
    <row r="10" spans="1:15">
      <c r="A10" s="13" t="s">
        <v>24</v>
      </c>
      <c r="B10" s="10"/>
      <c r="C10" s="10">
        <v>951254000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>
        <v>951254000</v>
      </c>
    </row>
    <row r="11" spans="1:15">
      <c r="A11" s="13" t="s">
        <v>25</v>
      </c>
      <c r="B11" s="10"/>
      <c r="C11" s="10">
        <v>869766000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>
        <v>869766000</v>
      </c>
    </row>
    <row r="12" spans="1:15">
      <c r="A12" s="13" t="s">
        <v>26</v>
      </c>
      <c r="B12" s="10"/>
      <c r="C12" s="10">
        <v>1011593200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>
        <v>1011593200</v>
      </c>
    </row>
    <row r="13" spans="1:15">
      <c r="A13" s="13" t="s">
        <v>27</v>
      </c>
      <c r="B13" s="10"/>
      <c r="C13" s="10">
        <v>870463600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>
        <v>870463600</v>
      </c>
    </row>
    <row r="14" spans="1:15">
      <c r="A14" s="13" t="s">
        <v>28</v>
      </c>
      <c r="B14" s="10"/>
      <c r="C14" s="10">
        <v>807581000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>
        <v>807581000</v>
      </c>
    </row>
    <row r="15" spans="1:15">
      <c r="A15" s="13" t="s">
        <v>29</v>
      </c>
      <c r="B15" s="10"/>
      <c r="C15" s="10">
        <v>1085034600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>
        <v>1085034600</v>
      </c>
    </row>
    <row r="16" spans="1:15">
      <c r="A16" s="13" t="s">
        <v>30</v>
      </c>
      <c r="B16" s="10"/>
      <c r="C16" s="10">
        <v>1002499000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>
        <v>1002499000</v>
      </c>
    </row>
    <row r="17" spans="1:15">
      <c r="A17" s="13" t="s">
        <v>31</v>
      </c>
      <c r="B17" s="10"/>
      <c r="C17" s="10">
        <v>889539200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>
        <v>889539200</v>
      </c>
    </row>
    <row r="18" spans="1:15">
      <c r="A18" s="13" t="s">
        <v>32</v>
      </c>
      <c r="B18" s="10"/>
      <c r="C18" s="10">
        <v>851455800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>
        <v>851455800</v>
      </c>
    </row>
    <row r="19" spans="1:15">
      <c r="A19" s="13" t="s">
        <v>34</v>
      </c>
      <c r="B19" s="10"/>
      <c r="C19" s="10"/>
      <c r="D19" s="10"/>
      <c r="E19" s="10"/>
      <c r="F19" s="10"/>
      <c r="G19" s="10"/>
      <c r="H19" s="10"/>
      <c r="I19" s="10"/>
      <c r="J19" s="10">
        <v>4970545737</v>
      </c>
      <c r="K19" s="10"/>
      <c r="L19" s="10"/>
      <c r="M19" s="10"/>
      <c r="N19" s="10"/>
      <c r="O19" s="11">
        <v>4970545737</v>
      </c>
    </row>
    <row r="20" spans="1:15">
      <c r="A20" s="13" t="s">
        <v>45</v>
      </c>
      <c r="B20" s="10"/>
      <c r="C20" s="10">
        <v>1820944100</v>
      </c>
      <c r="D20" s="10"/>
      <c r="E20" s="10"/>
      <c r="F20" s="10">
        <v>9450000</v>
      </c>
      <c r="G20" s="10"/>
      <c r="H20" s="10"/>
      <c r="I20" s="10"/>
      <c r="J20" s="10"/>
      <c r="K20" s="10"/>
      <c r="L20" s="10"/>
      <c r="M20" s="10"/>
      <c r="N20" s="10"/>
      <c r="O20" s="11">
        <v>1830394100</v>
      </c>
    </row>
    <row r="21" spans="1:15">
      <c r="A21" s="13" t="s">
        <v>51</v>
      </c>
      <c r="B21" s="10"/>
      <c r="C21" s="10">
        <v>391207500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>
        <v>391207500</v>
      </c>
    </row>
    <row r="22" spans="1:15">
      <c r="A22" s="17" t="s">
        <v>6</v>
      </c>
      <c r="B22" s="10">
        <f>SUM(B3:B21)</f>
        <v>88672040000</v>
      </c>
      <c r="C22" s="10">
        <f>SUM(C3:C21)</f>
        <v>43435646295</v>
      </c>
      <c r="D22" s="10">
        <f>SUM(D3:D21)</f>
        <v>0</v>
      </c>
      <c r="E22" s="10">
        <f>SUM(E3:E21)</f>
        <v>503520002</v>
      </c>
      <c r="F22" s="10">
        <f>SUM(F3:F21)</f>
        <v>9450000</v>
      </c>
      <c r="G22" s="10">
        <f>SUM(G3:G21)</f>
        <v>0</v>
      </c>
      <c r="H22" s="10">
        <f>SUM(H3:H21)</f>
        <v>5776201500</v>
      </c>
      <c r="I22" s="10">
        <f>SUM(I3:I21)</f>
        <v>0</v>
      </c>
      <c r="J22" s="10">
        <f>SUM(J3:J21)</f>
        <v>4970545737</v>
      </c>
      <c r="K22" s="10">
        <f>SUM(K3:K21)</f>
        <v>4271201400</v>
      </c>
      <c r="L22" s="10">
        <f>SUM(L3:L21)</f>
        <v>0</v>
      </c>
      <c r="M22" s="10">
        <f>SUM(M3:M21)</f>
        <v>0</v>
      </c>
      <c r="N22" s="10">
        <f>SUM(N3:N21)</f>
        <v>0</v>
      </c>
      <c r="O22" s="11">
        <f>SUM(O3:O21)</f>
        <v>147638604934</v>
      </c>
    </row>
  </sheetData>
  <mergeCells count="7">
    <mergeCell ref="O1:O2"/>
    <mergeCell ref="A1:A2"/>
    <mergeCell ref="B1:F1"/>
    <mergeCell ref="G1:K1"/>
    <mergeCell ref="L1:L2"/>
    <mergeCell ref="M1:M2"/>
    <mergeCell ref="N1:N2"/>
  </mergeCells>
  <pageMargins left="0.7" right="0.7" top="0.75" bottom="0.75" header="0.3" footer="0.3"/>
  <ignoredErrors>
    <ignoredError sqref="A3:O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>
      <selection activeCell="A7" sqref="A7"/>
    </sheetView>
  </sheetViews>
  <sheetFormatPr defaultRowHeight="15.6"/>
  <cols>
    <col min="1" max="1" width="43.21875" style="5" bestFit="1" customWidth="1"/>
    <col min="2" max="2" width="8.77734375" style="5" bestFit="1" customWidth="1"/>
    <col min="3" max="3" width="16.33203125" style="5" bestFit="1" customWidth="1"/>
    <col min="4" max="5" width="7.88671875" style="5" bestFit="1" customWidth="1"/>
    <col min="6" max="6" width="8.88671875" style="5" bestFit="1" customWidth="1"/>
    <col min="7" max="8" width="18.109375" style="5" bestFit="1" customWidth="1"/>
    <col min="9" max="9" width="19.21875" style="5" bestFit="1" customWidth="1"/>
    <col min="10" max="10" width="20.33203125" style="5" bestFit="1" customWidth="1"/>
    <col min="11" max="11" width="11.6640625" style="5" bestFit="1" customWidth="1"/>
    <col min="12" max="12" width="22" style="5" bestFit="1" customWidth="1"/>
    <col min="13" max="13" width="17.6640625" style="5" bestFit="1" customWidth="1"/>
    <col min="14" max="14" width="26.5546875" style="5" bestFit="1" customWidth="1"/>
    <col min="15" max="15" width="20.33203125" style="5" bestFit="1" customWidth="1"/>
    <col min="16" max="16384" width="8.88671875" style="5"/>
  </cols>
  <sheetData>
    <row r="1" spans="1:15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 t="s">
        <v>4</v>
      </c>
      <c r="N1" s="3" t="s">
        <v>5</v>
      </c>
      <c r="O1" s="3" t="s">
        <v>6</v>
      </c>
    </row>
    <row r="2" spans="1:15" ht="62.4">
      <c r="A2" s="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3"/>
      <c r="M2" s="3"/>
      <c r="N2" s="3"/>
      <c r="O2" s="3"/>
    </row>
    <row r="3" spans="1:15">
      <c r="A3" s="7" t="s">
        <v>17</v>
      </c>
      <c r="B3" s="8"/>
      <c r="C3" s="8">
        <v>400000000</v>
      </c>
      <c r="D3" s="8"/>
      <c r="E3" s="8"/>
      <c r="F3" s="8"/>
      <c r="G3" s="8"/>
      <c r="H3" s="8"/>
      <c r="I3" s="8">
        <v>2650000000</v>
      </c>
      <c r="J3" s="8"/>
      <c r="K3" s="8"/>
      <c r="L3" s="8"/>
      <c r="M3" s="8"/>
      <c r="N3" s="8"/>
      <c r="O3" s="9">
        <v>3050000000</v>
      </c>
    </row>
    <row r="4" spans="1:15">
      <c r="A4" s="7" t="s">
        <v>19</v>
      </c>
      <c r="B4" s="8"/>
      <c r="C4" s="8"/>
      <c r="D4" s="8"/>
      <c r="E4" s="8"/>
      <c r="F4" s="8"/>
      <c r="G4" s="8"/>
      <c r="H4" s="8"/>
      <c r="I4" s="8">
        <v>1800000000</v>
      </c>
      <c r="J4" s="8"/>
      <c r="K4" s="8"/>
      <c r="L4" s="8"/>
      <c r="M4" s="8"/>
      <c r="N4" s="8"/>
      <c r="O4" s="9">
        <v>1800000000</v>
      </c>
    </row>
    <row r="5" spans="1:15">
      <c r="A5" s="7" t="s">
        <v>34</v>
      </c>
      <c r="B5" s="8"/>
      <c r="C5" s="8">
        <v>300000000</v>
      </c>
      <c r="D5" s="8"/>
      <c r="E5" s="8"/>
      <c r="F5" s="8"/>
      <c r="G5" s="8">
        <v>6150000000</v>
      </c>
      <c r="H5" s="8"/>
      <c r="I5" s="8">
        <v>7200024000</v>
      </c>
      <c r="J5" s="8">
        <v>130600060000</v>
      </c>
      <c r="K5" s="8"/>
      <c r="L5" s="8"/>
      <c r="M5" s="8"/>
      <c r="N5" s="8"/>
      <c r="O5" s="9">
        <v>144250084000</v>
      </c>
    </row>
    <row r="6" spans="1:15">
      <c r="A6" s="7" t="s">
        <v>42</v>
      </c>
      <c r="B6" s="8"/>
      <c r="C6" s="8"/>
      <c r="D6" s="8"/>
      <c r="E6" s="8"/>
      <c r="F6" s="8"/>
      <c r="G6" s="8"/>
      <c r="H6" s="8">
        <v>2000000000</v>
      </c>
      <c r="I6" s="8"/>
      <c r="J6" s="8"/>
      <c r="K6" s="8"/>
      <c r="L6" s="8"/>
      <c r="M6" s="8"/>
      <c r="N6" s="8"/>
      <c r="O6" s="9">
        <v>2000000000</v>
      </c>
    </row>
    <row r="7" spans="1:15">
      <c r="A7" s="16" t="s">
        <v>6</v>
      </c>
      <c r="B7" s="8">
        <f>SUM(B3:B6)</f>
        <v>0</v>
      </c>
      <c r="C7" s="8">
        <f>SUM(C3:C6)</f>
        <v>700000000</v>
      </c>
      <c r="D7" s="8">
        <f>SUM(D3:D6)</f>
        <v>0</v>
      </c>
      <c r="E7" s="8">
        <f>SUM(E3:E6)</f>
        <v>0</v>
      </c>
      <c r="F7" s="8">
        <f>SUM(F3:F6)</f>
        <v>0</v>
      </c>
      <c r="G7" s="8">
        <f>SUM(G3:G6)</f>
        <v>6150000000</v>
      </c>
      <c r="H7" s="8">
        <f>SUM(H3:H6)</f>
        <v>2000000000</v>
      </c>
      <c r="I7" s="8">
        <f>SUM(I3:I6)</f>
        <v>11650024000</v>
      </c>
      <c r="J7" s="8">
        <f>SUM(J3:J6)</f>
        <v>130600060000</v>
      </c>
      <c r="K7" s="8">
        <f>SUM(K3:K6)</f>
        <v>0</v>
      </c>
      <c r="L7" s="8">
        <f>SUM(L3:L6)</f>
        <v>0</v>
      </c>
      <c r="M7" s="8">
        <f>SUM(M3:M6)</f>
        <v>0</v>
      </c>
      <c r="N7" s="8">
        <f>SUM(N3:N6)</f>
        <v>0</v>
      </c>
      <c r="O7" s="9">
        <f>SUM(O3:O6)</f>
        <v>151100084000</v>
      </c>
    </row>
  </sheetData>
  <mergeCells count="7">
    <mergeCell ref="O1:O2"/>
    <mergeCell ref="A1:A2"/>
    <mergeCell ref="B1:F1"/>
    <mergeCell ref="G1:K1"/>
    <mergeCell ref="L1:L2"/>
    <mergeCell ref="M1:M2"/>
    <mergeCell ref="N1:N2"/>
  </mergeCells>
  <pageMargins left="0.7" right="0.7" top="0.75" bottom="0.75" header="0.3" footer="0.3"/>
  <ignoredErrors>
    <ignoredError sqref="A3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SELURUH</vt:lpstr>
      <vt:lpstr>DAU</vt:lpstr>
      <vt:lpstr>DAK</vt:lpstr>
      <vt:lpstr>PINJAMAN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Surya</cp:lastModifiedBy>
  <dcterms:modified xsi:type="dcterms:W3CDTF">2026-02-05T02:39:08Z</dcterms:modified>
</cp:coreProperties>
</file>